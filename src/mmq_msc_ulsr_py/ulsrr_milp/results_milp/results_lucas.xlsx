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NDRESSA\Downloads\results\"/>
    </mc:Choice>
  </mc:AlternateContent>
  <xr:revisionPtr revIDLastSave="0" documentId="13_ncr:1_{87F47442-594C-4E5F-8E1E-B1F3E3FA7043}" xr6:coauthVersionLast="44" xr6:coauthVersionMax="44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01" i="1" l="1"/>
  <c r="D101" i="1"/>
  <c r="E101" i="1"/>
  <c r="F101" i="1"/>
  <c r="G101" i="1"/>
  <c r="B101" i="1"/>
  <c r="C90" i="1"/>
  <c r="D90" i="1"/>
  <c r="E90" i="1"/>
  <c r="F90" i="1"/>
  <c r="G90" i="1"/>
  <c r="B90" i="1"/>
  <c r="G79" i="1"/>
  <c r="C79" i="1"/>
  <c r="D79" i="1"/>
  <c r="E79" i="1"/>
  <c r="F79" i="1"/>
  <c r="B79" i="1"/>
  <c r="C68" i="1"/>
  <c r="D68" i="1"/>
  <c r="E68" i="1"/>
  <c r="F68" i="1"/>
  <c r="G68" i="1"/>
  <c r="B68" i="1"/>
  <c r="G57" i="1"/>
  <c r="F57" i="1"/>
  <c r="E57" i="1"/>
  <c r="D57" i="1"/>
  <c r="C57" i="1"/>
  <c r="B57" i="1"/>
  <c r="G46" i="1"/>
  <c r="F46" i="1"/>
  <c r="E46" i="1"/>
  <c r="D46" i="1"/>
  <c r="C46" i="1"/>
  <c r="B46" i="1"/>
  <c r="C35" i="1"/>
  <c r="D35" i="1"/>
  <c r="E35" i="1"/>
  <c r="F35" i="1"/>
  <c r="G35" i="1"/>
  <c r="B35" i="1"/>
  <c r="F24" i="1"/>
  <c r="G24" i="1"/>
  <c r="E24" i="1"/>
  <c r="D24" i="1"/>
  <c r="C24" i="1"/>
  <c r="B24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<sst xmlns="http://schemas.openxmlformats.org/spreadsheetml/2006/main" count="133" uniqueCount="128">
  <si>
    <t>instance</t>
  </si>
  <si>
    <t>objval</t>
  </si>
  <si>
    <t>objbound</t>
  </si>
  <si>
    <t>mipgap</t>
  </si>
  <si>
    <t>time</t>
  </si>
  <si>
    <t>nodes</t>
  </si>
  <si>
    <t>opt</t>
  </si>
  <si>
    <t>ls_1.txt</t>
  </si>
  <si>
    <t>ls_2.txt</t>
  </si>
  <si>
    <t>ls_3.txt</t>
  </si>
  <si>
    <t>ls_4.txt</t>
  </si>
  <si>
    <t>ls_5.txt</t>
  </si>
  <si>
    <t>ls_6.txt</t>
  </si>
  <si>
    <t>ls_7.txt</t>
  </si>
  <si>
    <t>ls_8.txt</t>
  </si>
  <si>
    <t>ls_9.txt</t>
  </si>
  <si>
    <t>ls_10.txt</t>
  </si>
  <si>
    <t>ls_11.txt</t>
  </si>
  <si>
    <t>ls_12.txt</t>
  </si>
  <si>
    <t>ls_13.txt</t>
  </si>
  <si>
    <t>ls_14.txt</t>
  </si>
  <si>
    <t>ls_15.txt</t>
  </si>
  <si>
    <t>ls_16.txt</t>
  </si>
  <si>
    <t>ls_17.txt</t>
  </si>
  <si>
    <t>ls_18.txt</t>
  </si>
  <si>
    <t>ls_19.txt</t>
  </si>
  <si>
    <t>ls_20.txt</t>
  </si>
  <si>
    <t>ls_21.txt</t>
  </si>
  <si>
    <t>ls_22.txt</t>
  </si>
  <si>
    <t>ls_23.txt</t>
  </si>
  <si>
    <t>ls_24.txt</t>
  </si>
  <si>
    <t>ls_25.txt</t>
  </si>
  <si>
    <t>ls_26.txt</t>
  </si>
  <si>
    <t>ls_27.txt</t>
  </si>
  <si>
    <t>ls_28.txt</t>
  </si>
  <si>
    <t>ls_29.txt</t>
  </si>
  <si>
    <t>ls_30.txt</t>
  </si>
  <si>
    <t>ls_31.txt</t>
  </si>
  <si>
    <t>ls_32.txt</t>
  </si>
  <si>
    <t>ls_33.txt</t>
  </si>
  <si>
    <t>ls_34.txt</t>
  </si>
  <si>
    <t>ls_35.txt</t>
  </si>
  <si>
    <t>ls_36.txt</t>
  </si>
  <si>
    <t>ls_37.txt</t>
  </si>
  <si>
    <t>ls_38.txt</t>
  </si>
  <si>
    <t>ls_39.txt</t>
  </si>
  <si>
    <t>ls_40.txt</t>
  </si>
  <si>
    <t>ls_41.txt</t>
  </si>
  <si>
    <t>ls_42.txt</t>
  </si>
  <si>
    <t>ls_43.txt</t>
  </si>
  <si>
    <t>ls_44.txt</t>
  </si>
  <si>
    <t>ls_45.txt</t>
  </si>
  <si>
    <t>ls_46.txt</t>
  </si>
  <si>
    <t>ls_47.txt</t>
  </si>
  <si>
    <t>ls_48.txt</t>
  </si>
  <si>
    <t>ls_49.txt</t>
  </si>
  <si>
    <t>ls_50.txt</t>
  </si>
  <si>
    <t>ls_51.txt</t>
  </si>
  <si>
    <t>ls_52.txt</t>
  </si>
  <si>
    <t>ls_53.txt</t>
  </si>
  <si>
    <t>ls_54.txt</t>
  </si>
  <si>
    <t>ls_55.txt</t>
  </si>
  <si>
    <t>ls_56.txt</t>
  </si>
  <si>
    <t>ls_57.txt</t>
  </si>
  <si>
    <t>ls_58.txt</t>
  </si>
  <si>
    <t>ls_59.txt</t>
  </si>
  <si>
    <t>ls_60.txt</t>
  </si>
  <si>
    <t>ls_61.txt</t>
  </si>
  <si>
    <t>ls_62.txt</t>
  </si>
  <si>
    <t>ls_63.txt</t>
  </si>
  <si>
    <t>ls_64.txt</t>
  </si>
  <si>
    <t>ls_65.txt</t>
  </si>
  <si>
    <t>ls_66.txt</t>
  </si>
  <si>
    <t>ls_67.txt</t>
  </si>
  <si>
    <t>ls_68.txt</t>
  </si>
  <si>
    <t>ls_69.txt</t>
  </si>
  <si>
    <t>ls_70.txt</t>
  </si>
  <si>
    <t>ls_71.txt</t>
  </si>
  <si>
    <t>ls_72.txt</t>
  </si>
  <si>
    <t>ls_73.txt</t>
  </si>
  <si>
    <t>ls_74.txt</t>
  </si>
  <si>
    <t>ls_75.txt</t>
  </si>
  <si>
    <t>ls_76.txt</t>
  </si>
  <si>
    <t>ls_77.txt</t>
  </si>
  <si>
    <t>ls_78.txt</t>
  </si>
  <si>
    <t>ls_79.txt</t>
  </si>
  <si>
    <t>ls_80.txt</t>
  </si>
  <si>
    <t>ls_81.txt</t>
  </si>
  <si>
    <t>ls_82.txt</t>
  </si>
  <si>
    <t>ls_83.txt</t>
  </si>
  <si>
    <t>ls_84.txt</t>
  </si>
  <si>
    <t>ls_85.txt</t>
  </si>
  <si>
    <t>ls_86.txt</t>
  </si>
  <si>
    <t>ls_87.txt</t>
  </si>
  <si>
    <t>ls_88.txt</t>
  </si>
  <si>
    <t>ls_89.txt</t>
  </si>
  <si>
    <t>ls_90.txt</t>
  </si>
  <si>
    <t>resume</t>
  </si>
  <si>
    <t>SETUP=500</t>
  </si>
  <si>
    <t>SETUP=1000</t>
  </si>
  <si>
    <t>SETU=1000</t>
  </si>
  <si>
    <t>SETUP=2000</t>
  </si>
  <si>
    <t>INSTÂNCIAS COM DIFERENTES TAXAS DE RETORNO</t>
  </si>
  <si>
    <t>Por: Paula Andressa Nascimento Lucas</t>
  </si>
  <si>
    <t>Estrutura dos 9 grupos (90 instâncias):</t>
  </si>
  <si>
    <t>GRUPOS 1-3: SETUP 500</t>
  </si>
  <si>
    <t>• Subgrupo 1 (ls_1 a ls_10):    Retorno 0-10%, Demanda 100-250</t>
  </si>
  <si>
    <t>• Subgrupo 2 (ls_11 a ls_20):   Retorno 10-20%, Demanda 100-250</t>
  </si>
  <si>
    <t>• Subgrupo 3 (ls_21 a ls_30):   Retorno 20-25%, Demanda 100-250</t>
  </si>
  <si>
    <t>GRUPOS 4-6: SETUP 1000</t>
  </si>
  <si>
    <t>• Subgrupo 4 (ls_31 a ls_40):   Retorno 0-10%, Demanda 100-250</t>
  </si>
  <si>
    <t>• Subgrupo 5 (ls_41 a ls_50):   Retorno 10-20%, Demanda 100-250</t>
  </si>
  <si>
    <t>• Subgrupo 6 (ls_51 a ls_60):   Retorno 20-25%, Demanda 100-250</t>
  </si>
  <si>
    <t>GRUPOS 7-9: SETUP 2000</t>
  </si>
  <si>
    <t>• Subgrupo 7 (ls_61 a ls_70):   Retorno 0-10%, Demanda 100-250</t>
  </si>
  <si>
    <t>• Subgrupo 8 (ls_71 a ls_80):   Retorno 10-20%, Demanda 100-250</t>
  </si>
  <si>
    <t>• Subgrupo 9 (ls_81 a ls_90):   Retorno 20-25%, Demanda 100-250</t>
  </si>
  <si>
    <t>Parâmetros comuns:</t>
  </si>
  <si>
    <t>• Períodos: 52</t>
  </si>
  <si>
    <t>• Holding produção: 1.0</t>
  </si>
  <si>
    <t>• Holding remanufatura: 0.25</t>
  </si>
  <si>
    <t>• Demanda: 100-250 (todos os subgrupos)</t>
  </si>
  <si>
    <t>• Custo produção: 1.0 (implícito)</t>
  </si>
  <si>
    <t>• Custo remanufatura: 0.25 (implícito)</t>
  </si>
  <si>
    <t>Grupos 1-3: Setup baixo (500) - incentiva produção/remanufatura frequente</t>
  </si>
  <si>
    <t>Grupos 4-6: Setup médio (1000) - equilíbrio entre frequência e tamanho de lote</t>
  </si>
  <si>
    <t>Grupos 7-9: Setup alto (2000) - incentiva lotes maiores e menos frequentes</t>
  </si>
  <si>
    <t>Descrição dos 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</si>
</sst>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9" borderId="0" xfId="0" applyFill="1"/>
    <xf numFmtId="0" fontId="0" fillId="10" borderId="0" xfId="0" applyFill="1"/>
    <xf numFmtId="0" fontId="2" fillId="2" borderId="0" xfId="1"/>
    <xf numFmtId="0" fontId="2" fillId="3" borderId="0" xfId="2"/>
    <xf numFmtId="0" fontId="2" fillId="4" borderId="0" xfId="3"/>
    <xf numFmtId="0" fontId="2" fillId="5" borderId="0" xfId="4"/>
    <xf numFmtId="0" fontId="2" fillId="6" borderId="0" xfId="5"/>
    <xf numFmtId="0" fontId="2" fillId="8" borderId="0" xfId="7"/>
    <xf numFmtId="0" fontId="2" fillId="7" borderId="0" xfId="6"/>
    <xf numFmtId="0" fontId="1" fillId="0" borderId="0" xfId="0" applyFont="1" applyBorder="1" applyAlignment="1">
      <alignment horizontal="center" vertical="top"/>
    </xf>
    <xf numFmtId="0" fontId="2" fillId="11" borderId="0" xfId="1" applyFill="1" applyBorder="1"/>
    <xf numFmtId="0" fontId="2" fillId="11" borderId="0" xfId="2" applyFill="1"/>
    <xf numFmtId="0" fontId="2" fillId="11" borderId="0" xfId="3" applyFill="1"/>
    <xf numFmtId="0" fontId="0" fillId="12" borderId="0" xfId="0" applyFill="1"/>
    <xf numFmtId="0" fontId="2" fillId="12" borderId="0" xfId="4" applyFill="1"/>
    <xf numFmtId="0" fontId="2" fillId="12" borderId="0" xfId="5" applyFill="1"/>
    <xf numFmtId="0" fontId="2" fillId="13" borderId="0" xfId="7" applyFill="1"/>
    <xf numFmtId="0" fontId="0" fillId="13" borderId="0" xfId="0" applyFill="1"/>
    <xf numFmtId="0" fontId="2" fillId="13" borderId="0" xfId="6" applyFill="1"/>
    <xf numFmtId="0" fontId="0" fillId="14" borderId="0" xfId="0" applyFill="1"/>
    <xf numFmtId="0" fontId="0" fillId="15" borderId="2" xfId="0" applyFill="1" applyBorder="1"/>
    <xf numFmtId="0" fontId="0" fillId="15" borderId="3" xfId="0" applyFill="1" applyBorder="1"/>
    <xf numFmtId="0" fontId="0" fillId="15" borderId="4" xfId="0" applyFill="1" applyBorder="1"/>
    <xf numFmtId="0" fontId="0" fillId="15" borderId="5" xfId="0" applyFill="1" applyBorder="1"/>
    <xf numFmtId="0" fontId="0" fillId="15" borderId="0" xfId="0" applyFill="1" applyBorder="1"/>
    <xf numFmtId="0" fontId="0" fillId="15" borderId="6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5" borderId="9" xfId="0" applyFill="1" applyBorder="1"/>
    <xf numFmtId="0" fontId="0" fillId="0" borderId="0" xfId="0" applyFill="1" applyBorder="1"/>
    <xf numFmtId="0" fontId="3" fillId="15" borderId="0" xfId="0" applyFont="1" applyFill="1" applyBorder="1"/>
  </cellXfs>
  <cellStyles count="8">
    <cellStyle name="20% - Ênfase1" xfId="1" builtinId="30"/>
    <cellStyle name="20% - Ênfase3" xfId="4" builtinId="38"/>
    <cellStyle name="40% - Ênfase1" xfId="2" builtinId="31"/>
    <cellStyle name="40% - Ênfase4" xfId="6" builtinId="43"/>
    <cellStyle name="40% - Ênfase5" xfId="7" builtinId="47"/>
    <cellStyle name="60% - Ênfase1" xfId="3" builtinId="32"/>
    <cellStyle name="60% - Ênfase3" xfId="5" builtinId="40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C2D45-BB8A-456F-984B-E67004B41F7D}" name="Tabela1" displayName="Tabela1" ref="A1:G102" totalsRowShown="0" headerRowDxfId="2" headerRowBorderDxfId="1" tableBorderDxfId="0">
  <autoFilter ref="A1:G102" xr:uid="{FBCF5C67-0936-4112-AF6A-9189AF132263}"/>
  <tableColumns count="7">
    <tableColumn id="1" xr3:uid="{173C9EB9-5BBA-49C1-B380-75FA8E08EA0B}" name="instance"/>
    <tableColumn id="2" xr3:uid="{D1D5605E-8662-483F-A323-04C4229756A5}" name="objval"/>
    <tableColumn id="3" xr3:uid="{504C259A-E36E-4F32-AAF2-D566A05CD6A8}" name="objbound"/>
    <tableColumn id="4" xr3:uid="{7603D1A2-1CD3-43E8-B8EC-D48153379F4E}" name="mipgap"/>
    <tableColumn id="5" xr3:uid="{729B8AB2-3DA7-468D-9485-2179392CD4D6}" name="time"/>
    <tableColumn id="6" xr3:uid="{D6D9B141-80D7-4F15-B27D-55C53DA58684}" name="nodes"/>
    <tableColumn id="7" xr3:uid="{C1F93D16-0F52-4BB5-9E94-22617B82FE7E}" name="op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2"/>
  <sheetViews>
    <sheetView tabSelected="1" workbookViewId="0">
      <selection activeCell="P34" sqref="P34"/>
    </sheetView>
  </sheetViews>
  <sheetFormatPr defaultRowHeight="15" x14ac:dyDescent="0.25"/>
  <cols>
    <col min="1" max="1" width="12.42578125" customWidth="1"/>
    <col min="2" max="2" width="14.28515625" customWidth="1"/>
    <col min="3" max="3" width="16" customWidth="1"/>
    <col min="4" max="4" width="9.7109375" customWidth="1"/>
    <col min="5" max="5" width="14.28515625" customWidth="1"/>
    <col min="6" max="6" width="13.28515625" customWidth="1"/>
    <col min="7" max="7" width="12.7109375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x14ac:dyDescent="0.25">
      <c r="A2" s="11"/>
      <c r="B2" s="11"/>
      <c r="C2" s="11"/>
      <c r="D2" s="11"/>
      <c r="E2" s="11"/>
      <c r="F2" s="11"/>
      <c r="G2" s="11"/>
      <c r="I2" s="22"/>
      <c r="J2" s="23"/>
      <c r="K2" s="23"/>
      <c r="L2" s="23"/>
      <c r="M2" s="23"/>
      <c r="N2" s="23"/>
      <c r="O2" s="23"/>
      <c r="P2" s="23"/>
      <c r="Q2" s="24"/>
    </row>
    <row r="3" spans="1:17" ht="21" x14ac:dyDescent="0.35">
      <c r="A3" s="4" t="s">
        <v>7</v>
      </c>
      <c r="B3" s="4">
        <v>18156</v>
      </c>
      <c r="C3" s="4">
        <v>18156</v>
      </c>
      <c r="D3" s="4">
        <v>0</v>
      </c>
      <c r="E3" s="4">
        <v>0.41</v>
      </c>
      <c r="F3" s="4">
        <v>199</v>
      </c>
      <c r="G3" s="4">
        <v>1</v>
      </c>
      <c r="I3" s="25"/>
      <c r="J3" s="32" t="s">
        <v>102</v>
      </c>
      <c r="K3" s="32"/>
      <c r="L3" s="32"/>
      <c r="M3" s="32"/>
      <c r="N3" s="32"/>
      <c r="O3" s="26"/>
      <c r="P3" s="26"/>
      <c r="Q3" s="27"/>
    </row>
    <row r="4" spans="1:17" x14ac:dyDescent="0.25">
      <c r="A4" s="4" t="s">
        <v>8</v>
      </c>
      <c r="B4" s="4">
        <v>17879.75</v>
      </c>
      <c r="C4" s="4">
        <v>17879.75</v>
      </c>
      <c r="D4" s="4">
        <v>0</v>
      </c>
      <c r="E4" s="4">
        <v>0.42</v>
      </c>
      <c r="F4" s="4">
        <v>167</v>
      </c>
      <c r="G4" s="4">
        <v>1</v>
      </c>
      <c r="I4" s="25"/>
      <c r="J4" s="26" t="s">
        <v>103</v>
      </c>
      <c r="K4" s="26"/>
      <c r="L4" s="26"/>
      <c r="M4" s="26"/>
      <c r="N4" s="26"/>
      <c r="O4" s="26"/>
      <c r="P4" s="26"/>
      <c r="Q4" s="27"/>
    </row>
    <row r="5" spans="1:17" x14ac:dyDescent="0.25">
      <c r="A5" s="4" t="s">
        <v>9</v>
      </c>
      <c r="B5" s="4">
        <v>18304.5</v>
      </c>
      <c r="C5" s="4">
        <v>18304.5</v>
      </c>
      <c r="D5" s="4">
        <v>0</v>
      </c>
      <c r="E5" s="4">
        <v>0.2</v>
      </c>
      <c r="F5" s="4">
        <v>54</v>
      </c>
      <c r="G5" s="4">
        <v>1</v>
      </c>
      <c r="I5" s="25"/>
      <c r="J5" s="26"/>
      <c r="K5" s="26"/>
      <c r="L5" s="26"/>
      <c r="M5" s="26"/>
      <c r="N5" s="26"/>
      <c r="O5" s="26"/>
      <c r="P5" s="26"/>
      <c r="Q5" s="27"/>
    </row>
    <row r="6" spans="1:17" x14ac:dyDescent="0.25">
      <c r="A6" s="4" t="s">
        <v>10</v>
      </c>
      <c r="B6" s="4">
        <v>18227.25</v>
      </c>
      <c r="C6" s="4">
        <v>18227.25</v>
      </c>
      <c r="D6" s="4">
        <v>0</v>
      </c>
      <c r="E6" s="4">
        <v>0.23</v>
      </c>
      <c r="F6" s="4">
        <v>45</v>
      </c>
      <c r="G6" s="4">
        <v>1</v>
      </c>
      <c r="I6" s="25"/>
      <c r="J6" s="26" t="s">
        <v>104</v>
      </c>
      <c r="K6" s="26"/>
      <c r="L6" s="26"/>
      <c r="M6" s="26"/>
      <c r="N6" s="26"/>
      <c r="O6" s="26"/>
      <c r="P6" s="26"/>
      <c r="Q6" s="27"/>
    </row>
    <row r="7" spans="1:17" x14ac:dyDescent="0.25">
      <c r="A7" s="4" t="s">
        <v>11</v>
      </c>
      <c r="B7" s="4">
        <v>18011.75</v>
      </c>
      <c r="C7" s="4">
        <v>18011.75</v>
      </c>
      <c r="D7" s="4">
        <v>0</v>
      </c>
      <c r="E7" s="4">
        <v>0.35</v>
      </c>
      <c r="F7" s="4">
        <v>117</v>
      </c>
      <c r="G7" s="4">
        <v>1</v>
      </c>
      <c r="I7" s="25"/>
      <c r="J7" s="26"/>
      <c r="K7" s="26"/>
      <c r="L7" s="26"/>
      <c r="M7" s="26"/>
      <c r="N7" s="26"/>
      <c r="O7" s="26"/>
      <c r="P7" s="26"/>
      <c r="Q7" s="27"/>
    </row>
    <row r="8" spans="1:17" x14ac:dyDescent="0.25">
      <c r="A8" s="4" t="s">
        <v>12</v>
      </c>
      <c r="B8" s="4">
        <v>18069.25</v>
      </c>
      <c r="C8" s="4">
        <v>18069.25</v>
      </c>
      <c r="D8" s="4">
        <v>0</v>
      </c>
      <c r="E8" s="4">
        <v>0.23</v>
      </c>
      <c r="F8" s="4">
        <v>10</v>
      </c>
      <c r="G8" s="4">
        <v>1</v>
      </c>
      <c r="I8" s="25"/>
      <c r="J8" s="26" t="s">
        <v>124</v>
      </c>
      <c r="K8" s="26"/>
      <c r="L8" s="26"/>
      <c r="M8" s="26"/>
      <c r="N8" s="26"/>
      <c r="O8" s="26"/>
      <c r="P8" s="26"/>
      <c r="Q8" s="27"/>
    </row>
    <row r="9" spans="1:17" x14ac:dyDescent="0.25">
      <c r="A9" s="4" t="s">
        <v>13</v>
      </c>
      <c r="B9" s="4">
        <v>18411.5</v>
      </c>
      <c r="C9" s="4">
        <v>18411.5</v>
      </c>
      <c r="D9" s="4">
        <v>0</v>
      </c>
      <c r="E9" s="4">
        <v>0.89</v>
      </c>
      <c r="F9" s="4">
        <v>656</v>
      </c>
      <c r="G9" s="4">
        <v>1</v>
      </c>
      <c r="I9" s="25"/>
      <c r="J9" s="26" t="s">
        <v>125</v>
      </c>
      <c r="K9" s="26"/>
      <c r="L9" s="26"/>
      <c r="M9" s="26"/>
      <c r="N9" s="26"/>
      <c r="O9" s="26"/>
      <c r="P9" s="26"/>
      <c r="Q9" s="27"/>
    </row>
    <row r="10" spans="1:17" x14ac:dyDescent="0.25">
      <c r="A10" s="4" t="s">
        <v>14</v>
      </c>
      <c r="B10" s="4">
        <v>18448.75</v>
      </c>
      <c r="C10" s="4">
        <v>18448.75</v>
      </c>
      <c r="D10" s="4">
        <v>0</v>
      </c>
      <c r="E10" s="4">
        <v>0.45</v>
      </c>
      <c r="F10" s="4">
        <v>429</v>
      </c>
      <c r="G10" s="4">
        <v>1</v>
      </c>
      <c r="I10" s="25"/>
      <c r="J10" s="26" t="s">
        <v>126</v>
      </c>
      <c r="K10" s="26"/>
      <c r="L10" s="26"/>
      <c r="M10" s="26"/>
      <c r="N10" s="26"/>
      <c r="O10" s="26"/>
      <c r="P10" s="26"/>
      <c r="Q10" s="27"/>
    </row>
    <row r="11" spans="1:17" x14ac:dyDescent="0.25">
      <c r="A11" s="4" t="s">
        <v>15</v>
      </c>
      <c r="B11" s="4">
        <v>17302.75</v>
      </c>
      <c r="C11" s="4">
        <v>17301.28</v>
      </c>
      <c r="D11" s="4">
        <v>1E-4</v>
      </c>
      <c r="E11" s="4">
        <v>0.2</v>
      </c>
      <c r="F11" s="4">
        <v>1</v>
      </c>
      <c r="G11" s="4">
        <v>1</v>
      </c>
      <c r="I11" s="25"/>
      <c r="J11" s="26"/>
      <c r="K11" s="26"/>
      <c r="L11" s="26"/>
      <c r="M11" s="26"/>
      <c r="N11" s="26"/>
      <c r="O11" s="26"/>
      <c r="P11" s="26"/>
      <c r="Q11" s="27"/>
    </row>
    <row r="12" spans="1:17" x14ac:dyDescent="0.25">
      <c r="A12" s="4" t="s">
        <v>16</v>
      </c>
      <c r="B12" s="4">
        <v>18397.5</v>
      </c>
      <c r="C12" s="4">
        <v>18396.330000000002</v>
      </c>
      <c r="D12" s="4">
        <v>1E-4</v>
      </c>
      <c r="E12" s="4">
        <v>0.19</v>
      </c>
      <c r="F12" s="4">
        <v>1</v>
      </c>
      <c r="G12" s="4">
        <v>1</v>
      </c>
      <c r="I12" s="25"/>
      <c r="J12" s="26" t="s">
        <v>127</v>
      </c>
      <c r="K12" s="26"/>
      <c r="L12" s="26"/>
      <c r="M12" s="26"/>
      <c r="N12" s="26"/>
      <c r="O12" s="26"/>
      <c r="P12" s="26"/>
      <c r="Q12" s="27"/>
    </row>
    <row r="13" spans="1:17" x14ac:dyDescent="0.25">
      <c r="A13" s="12" t="s">
        <v>98</v>
      </c>
      <c r="B13" s="12">
        <f>AVERAGE(B3:B12)</f>
        <v>18120.900000000001</v>
      </c>
      <c r="C13" s="12">
        <f>AVERAGE(C3:C12)</f>
        <v>18120.635999999999</v>
      </c>
      <c r="D13" s="12">
        <f>AVERAGE(D3:D12)</f>
        <v>2.0000000000000002E-5</v>
      </c>
      <c r="E13" s="12">
        <f>AVERAGE(E3:E12)</f>
        <v>0.35700000000000004</v>
      </c>
      <c r="F13" s="12">
        <f>AVERAGE(F3:F12)</f>
        <v>167.9</v>
      </c>
      <c r="G13" s="12">
        <f>AVERAGE(G3:G12)</f>
        <v>1</v>
      </c>
      <c r="I13" s="25"/>
      <c r="J13" s="26"/>
      <c r="K13" s="26"/>
      <c r="L13" s="26"/>
      <c r="M13" s="26"/>
      <c r="N13" s="26"/>
      <c r="O13" s="26"/>
      <c r="P13" s="26"/>
      <c r="Q13" s="27"/>
    </row>
    <row r="14" spans="1:17" x14ac:dyDescent="0.25">
      <c r="A14" s="5" t="s">
        <v>17</v>
      </c>
      <c r="B14" s="5">
        <v>18385.75</v>
      </c>
      <c r="C14" s="5">
        <v>18385.75</v>
      </c>
      <c r="D14" s="5">
        <v>0</v>
      </c>
      <c r="E14" s="5">
        <v>1.1100000000000001</v>
      </c>
      <c r="F14" s="5">
        <v>988</v>
      </c>
      <c r="G14" s="5">
        <v>1</v>
      </c>
      <c r="I14" s="25"/>
      <c r="J14" s="26" t="s">
        <v>105</v>
      </c>
      <c r="K14" s="26"/>
      <c r="L14" s="26"/>
      <c r="M14" s="26"/>
      <c r="N14" s="26"/>
      <c r="O14" s="26"/>
      <c r="P14" s="26"/>
      <c r="Q14" s="27"/>
    </row>
    <row r="15" spans="1:17" x14ac:dyDescent="0.25">
      <c r="A15" s="5" t="s">
        <v>18</v>
      </c>
      <c r="B15" s="5">
        <v>18753.25</v>
      </c>
      <c r="C15" s="5">
        <v>18753.25</v>
      </c>
      <c r="D15" s="5">
        <v>0</v>
      </c>
      <c r="E15" s="5">
        <v>3.19</v>
      </c>
      <c r="F15" s="5">
        <v>2174</v>
      </c>
      <c r="G15" s="5">
        <v>1</v>
      </c>
      <c r="I15" s="25"/>
      <c r="J15" s="26" t="s">
        <v>106</v>
      </c>
      <c r="K15" s="26"/>
      <c r="L15" s="26"/>
      <c r="M15" s="26"/>
      <c r="N15" s="26"/>
      <c r="O15" s="26"/>
      <c r="P15" s="26"/>
      <c r="Q15" s="27"/>
    </row>
    <row r="16" spans="1:17" x14ac:dyDescent="0.25">
      <c r="A16" s="5" t="s">
        <v>19</v>
      </c>
      <c r="B16" s="5">
        <v>18397.75</v>
      </c>
      <c r="C16" s="5">
        <v>18397.75</v>
      </c>
      <c r="D16" s="5">
        <v>0</v>
      </c>
      <c r="E16" s="5">
        <v>5.0199999999999996</v>
      </c>
      <c r="F16" s="5">
        <v>4154</v>
      </c>
      <c r="G16" s="5">
        <v>1</v>
      </c>
      <c r="I16" s="25"/>
      <c r="J16" s="26" t="s">
        <v>107</v>
      </c>
      <c r="K16" s="26"/>
      <c r="L16" s="26"/>
      <c r="M16" s="26"/>
      <c r="N16" s="26"/>
      <c r="O16" s="26"/>
      <c r="P16" s="26"/>
      <c r="Q16" s="27"/>
    </row>
    <row r="17" spans="1:17" x14ac:dyDescent="0.25">
      <c r="A17" s="5" t="s">
        <v>20</v>
      </c>
      <c r="B17" s="5">
        <v>18775</v>
      </c>
      <c r="C17" s="5">
        <v>18775</v>
      </c>
      <c r="D17" s="5">
        <v>0</v>
      </c>
      <c r="E17" s="5">
        <v>1.74</v>
      </c>
      <c r="F17" s="5">
        <v>1413</v>
      </c>
      <c r="G17" s="5">
        <v>1</v>
      </c>
      <c r="I17" s="25"/>
      <c r="J17" s="26" t="s">
        <v>108</v>
      </c>
      <c r="K17" s="26"/>
      <c r="L17" s="26"/>
      <c r="M17" s="26"/>
      <c r="N17" s="26"/>
      <c r="O17" s="26"/>
      <c r="P17" s="26"/>
      <c r="Q17" s="27"/>
    </row>
    <row r="18" spans="1:17" x14ac:dyDescent="0.25">
      <c r="A18" s="5" t="s">
        <v>21</v>
      </c>
      <c r="B18" s="5">
        <v>18517</v>
      </c>
      <c r="C18" s="5">
        <v>18517</v>
      </c>
      <c r="D18" s="5">
        <v>0</v>
      </c>
      <c r="E18" s="5">
        <v>0.51</v>
      </c>
      <c r="F18" s="5">
        <v>452</v>
      </c>
      <c r="G18" s="5">
        <v>1</v>
      </c>
      <c r="I18" s="25"/>
      <c r="J18" s="26"/>
      <c r="K18" s="26"/>
      <c r="L18" s="26"/>
      <c r="M18" s="26"/>
      <c r="N18" s="26"/>
      <c r="O18" s="26"/>
      <c r="P18" s="26"/>
      <c r="Q18" s="27"/>
    </row>
    <row r="19" spans="1:17" x14ac:dyDescent="0.25">
      <c r="A19" s="5" t="s">
        <v>22</v>
      </c>
      <c r="B19" s="5">
        <v>18779</v>
      </c>
      <c r="C19" s="5">
        <v>18779</v>
      </c>
      <c r="D19" s="5">
        <v>0</v>
      </c>
      <c r="E19" s="5">
        <v>1.58</v>
      </c>
      <c r="F19" s="5">
        <v>1301</v>
      </c>
      <c r="G19" s="5">
        <v>1</v>
      </c>
      <c r="I19" s="25"/>
      <c r="J19" s="26" t="s">
        <v>109</v>
      </c>
      <c r="K19" s="26"/>
      <c r="L19" s="26"/>
      <c r="M19" s="26"/>
      <c r="N19" s="26"/>
      <c r="O19" s="26"/>
      <c r="P19" s="26"/>
      <c r="Q19" s="27"/>
    </row>
    <row r="20" spans="1:17" x14ac:dyDescent="0.25">
      <c r="A20" s="5" t="s">
        <v>23</v>
      </c>
      <c r="B20" s="5">
        <v>18596.25</v>
      </c>
      <c r="C20" s="5">
        <v>18596.25</v>
      </c>
      <c r="D20" s="5">
        <v>0</v>
      </c>
      <c r="E20" s="5">
        <v>0.68</v>
      </c>
      <c r="F20" s="5">
        <v>509</v>
      </c>
      <c r="G20" s="5">
        <v>1</v>
      </c>
      <c r="I20" s="25"/>
      <c r="J20" s="26" t="s">
        <v>110</v>
      </c>
      <c r="K20" s="26"/>
      <c r="L20" s="26"/>
      <c r="M20" s="26"/>
      <c r="N20" s="26"/>
      <c r="O20" s="26"/>
      <c r="P20" s="26"/>
      <c r="Q20" s="27"/>
    </row>
    <row r="21" spans="1:17" x14ac:dyDescent="0.25">
      <c r="A21" s="5" t="s">
        <v>24</v>
      </c>
      <c r="B21" s="5">
        <v>18370</v>
      </c>
      <c r="C21" s="5">
        <v>18370</v>
      </c>
      <c r="D21" s="5">
        <v>0</v>
      </c>
      <c r="E21" s="5">
        <v>1.18</v>
      </c>
      <c r="F21" s="5">
        <v>1313</v>
      </c>
      <c r="G21" s="5">
        <v>1</v>
      </c>
      <c r="I21" s="25"/>
      <c r="J21" s="26" t="s">
        <v>111</v>
      </c>
      <c r="K21" s="26"/>
      <c r="L21" s="26"/>
      <c r="M21" s="26"/>
      <c r="N21" s="26"/>
      <c r="O21" s="26"/>
      <c r="P21" s="26"/>
      <c r="Q21" s="27"/>
    </row>
    <row r="22" spans="1:17" x14ac:dyDescent="0.25">
      <c r="A22" s="5" t="s">
        <v>25</v>
      </c>
      <c r="B22" s="5">
        <v>18877.5</v>
      </c>
      <c r="C22" s="5">
        <v>18877.5</v>
      </c>
      <c r="D22" s="5">
        <v>0</v>
      </c>
      <c r="E22" s="5">
        <v>3.39</v>
      </c>
      <c r="F22" s="5">
        <v>2716</v>
      </c>
      <c r="G22" s="5">
        <v>1</v>
      </c>
      <c r="I22" s="25"/>
      <c r="J22" s="26" t="s">
        <v>112</v>
      </c>
      <c r="K22" s="26"/>
      <c r="L22" s="26"/>
      <c r="M22" s="26"/>
      <c r="N22" s="26"/>
      <c r="O22" s="26"/>
      <c r="P22" s="26"/>
      <c r="Q22" s="27"/>
    </row>
    <row r="23" spans="1:17" x14ac:dyDescent="0.25">
      <c r="A23" s="5" t="s">
        <v>26</v>
      </c>
      <c r="B23" s="5">
        <v>18645.75</v>
      </c>
      <c r="C23" s="5">
        <v>18645.75</v>
      </c>
      <c r="D23" s="5">
        <v>0</v>
      </c>
      <c r="E23" s="5">
        <v>2.94</v>
      </c>
      <c r="F23" s="5">
        <v>2314</v>
      </c>
      <c r="G23" s="5">
        <v>1</v>
      </c>
      <c r="I23" s="25"/>
      <c r="J23" s="26"/>
      <c r="K23" s="26"/>
      <c r="L23" s="26"/>
      <c r="M23" s="26"/>
      <c r="N23" s="26"/>
      <c r="O23" s="26"/>
      <c r="P23" s="26"/>
      <c r="Q23" s="27"/>
    </row>
    <row r="24" spans="1:17" x14ac:dyDescent="0.25">
      <c r="A24" s="13" t="s">
        <v>98</v>
      </c>
      <c r="B24" s="13">
        <f t="shared" ref="B24:G24" si="0">AVERAGE(B14:B23)</f>
        <v>18609.724999999999</v>
      </c>
      <c r="C24" s="13">
        <f t="shared" si="0"/>
        <v>18609.724999999999</v>
      </c>
      <c r="D24" s="13">
        <f t="shared" si="0"/>
        <v>0</v>
      </c>
      <c r="E24" s="13">
        <f t="shared" si="0"/>
        <v>2.1339999999999999</v>
      </c>
      <c r="F24" s="13">
        <f t="shared" si="0"/>
        <v>1733.4</v>
      </c>
      <c r="G24" s="13">
        <f t="shared" si="0"/>
        <v>1</v>
      </c>
      <c r="I24" s="25"/>
      <c r="J24" s="26" t="s">
        <v>113</v>
      </c>
      <c r="K24" s="26"/>
      <c r="L24" s="26"/>
      <c r="M24" s="26"/>
      <c r="N24" s="26"/>
      <c r="O24" s="26"/>
      <c r="P24" s="26"/>
      <c r="Q24" s="27"/>
    </row>
    <row r="25" spans="1:17" x14ac:dyDescent="0.25">
      <c r="A25" s="6" t="s">
        <v>27</v>
      </c>
      <c r="B25" s="6">
        <v>18800</v>
      </c>
      <c r="C25" s="6">
        <v>18800</v>
      </c>
      <c r="D25" s="6">
        <v>0</v>
      </c>
      <c r="E25" s="6">
        <v>4.99</v>
      </c>
      <c r="F25" s="6">
        <v>5868</v>
      </c>
      <c r="G25" s="6">
        <v>1</v>
      </c>
      <c r="I25" s="25"/>
      <c r="J25" s="26" t="s">
        <v>114</v>
      </c>
      <c r="K25" s="26"/>
      <c r="L25" s="26"/>
      <c r="M25" s="26"/>
      <c r="N25" s="26"/>
      <c r="O25" s="26"/>
      <c r="P25" s="26"/>
      <c r="Q25" s="27"/>
    </row>
    <row r="26" spans="1:17" x14ac:dyDescent="0.25">
      <c r="A26" s="6" t="s">
        <v>28</v>
      </c>
      <c r="B26" s="6">
        <v>19156.75</v>
      </c>
      <c r="C26" s="6">
        <v>19156.75</v>
      </c>
      <c r="D26" s="6">
        <v>0</v>
      </c>
      <c r="E26" s="6">
        <v>4.2300000000000004</v>
      </c>
      <c r="F26" s="6">
        <v>2259</v>
      </c>
      <c r="G26" s="6">
        <v>1</v>
      </c>
      <c r="I26" s="25"/>
      <c r="J26" s="26" t="s">
        <v>115</v>
      </c>
      <c r="K26" s="26"/>
      <c r="L26" s="26"/>
      <c r="M26" s="26"/>
      <c r="N26" s="26"/>
      <c r="O26" s="26"/>
      <c r="P26" s="26"/>
      <c r="Q26" s="27"/>
    </row>
    <row r="27" spans="1:17" x14ac:dyDescent="0.25">
      <c r="A27" s="6" t="s">
        <v>29</v>
      </c>
      <c r="B27" s="6">
        <v>19008</v>
      </c>
      <c r="C27" s="6">
        <v>19008</v>
      </c>
      <c r="D27" s="6">
        <v>0</v>
      </c>
      <c r="E27" s="6">
        <v>5.39</v>
      </c>
      <c r="F27" s="6">
        <v>5621</v>
      </c>
      <c r="G27" s="6">
        <v>1</v>
      </c>
      <c r="I27" s="25"/>
      <c r="J27" s="26" t="s">
        <v>116</v>
      </c>
      <c r="K27" s="26"/>
      <c r="L27" s="26"/>
      <c r="M27" s="26"/>
      <c r="N27" s="26"/>
      <c r="O27" s="26"/>
      <c r="P27" s="26"/>
      <c r="Q27" s="27"/>
    </row>
    <row r="28" spans="1:17" x14ac:dyDescent="0.25">
      <c r="A28" s="6" t="s">
        <v>30</v>
      </c>
      <c r="B28" s="6">
        <v>18627</v>
      </c>
      <c r="C28" s="6">
        <v>18627</v>
      </c>
      <c r="D28" s="6">
        <v>0</v>
      </c>
      <c r="E28" s="6">
        <v>8.69</v>
      </c>
      <c r="F28" s="6">
        <v>7869</v>
      </c>
      <c r="G28" s="6">
        <v>1</v>
      </c>
      <c r="I28" s="25"/>
      <c r="J28" s="26"/>
      <c r="K28" s="26"/>
      <c r="L28" s="26"/>
      <c r="M28" s="26"/>
      <c r="N28" s="26"/>
      <c r="O28" s="26"/>
      <c r="P28" s="26"/>
      <c r="Q28" s="27"/>
    </row>
    <row r="29" spans="1:17" x14ac:dyDescent="0.25">
      <c r="A29" s="6" t="s">
        <v>31</v>
      </c>
      <c r="B29" s="6">
        <v>18749.5</v>
      </c>
      <c r="C29" s="6">
        <v>18749.5</v>
      </c>
      <c r="D29" s="6">
        <v>0</v>
      </c>
      <c r="E29" s="6">
        <v>3.71</v>
      </c>
      <c r="F29" s="6">
        <v>3061</v>
      </c>
      <c r="G29" s="6">
        <v>1</v>
      </c>
      <c r="I29" s="25"/>
      <c r="J29" s="26" t="s">
        <v>117</v>
      </c>
      <c r="K29" s="26"/>
      <c r="L29" s="26"/>
      <c r="M29" s="26"/>
      <c r="N29" s="26"/>
      <c r="O29" s="26"/>
      <c r="P29" s="26"/>
      <c r="Q29" s="27"/>
    </row>
    <row r="30" spans="1:17" x14ac:dyDescent="0.25">
      <c r="A30" s="6" t="s">
        <v>32</v>
      </c>
      <c r="B30" s="6">
        <v>19354.75</v>
      </c>
      <c r="C30" s="6">
        <v>19354.75</v>
      </c>
      <c r="D30" s="6">
        <v>0</v>
      </c>
      <c r="E30" s="6">
        <v>5.4</v>
      </c>
      <c r="F30" s="6">
        <v>7843</v>
      </c>
      <c r="G30" s="6">
        <v>1</v>
      </c>
      <c r="I30" s="25"/>
      <c r="J30" s="26" t="s">
        <v>118</v>
      </c>
      <c r="K30" s="26"/>
      <c r="L30" s="26"/>
      <c r="M30" s="26"/>
      <c r="N30" s="26"/>
      <c r="O30" s="26"/>
      <c r="P30" s="26"/>
      <c r="Q30" s="27"/>
    </row>
    <row r="31" spans="1:17" x14ac:dyDescent="0.25">
      <c r="A31" s="6" t="s">
        <v>33</v>
      </c>
      <c r="B31" s="6">
        <v>19023.5</v>
      </c>
      <c r="C31" s="6">
        <v>19023.5</v>
      </c>
      <c r="D31" s="6">
        <v>0</v>
      </c>
      <c r="E31" s="6">
        <v>2.77</v>
      </c>
      <c r="F31" s="6">
        <v>1852</v>
      </c>
      <c r="G31" s="6">
        <v>1</v>
      </c>
      <c r="I31" s="25"/>
      <c r="J31" s="26" t="s">
        <v>119</v>
      </c>
      <c r="K31" s="26"/>
      <c r="L31" s="26"/>
      <c r="M31" s="26"/>
      <c r="N31" s="26"/>
      <c r="O31" s="26"/>
      <c r="P31" s="26"/>
      <c r="Q31" s="27"/>
    </row>
    <row r="32" spans="1:17" x14ac:dyDescent="0.25">
      <c r="A32" s="6" t="s">
        <v>34</v>
      </c>
      <c r="B32" s="6">
        <v>19020</v>
      </c>
      <c r="C32" s="6">
        <v>19020</v>
      </c>
      <c r="D32" s="6">
        <v>0</v>
      </c>
      <c r="E32" s="6">
        <v>6.6</v>
      </c>
      <c r="F32" s="6">
        <v>7772</v>
      </c>
      <c r="G32" s="6">
        <v>1</v>
      </c>
      <c r="I32" s="25"/>
      <c r="J32" s="26" t="s">
        <v>120</v>
      </c>
      <c r="K32" s="26"/>
      <c r="L32" s="26"/>
      <c r="M32" s="26"/>
      <c r="N32" s="26"/>
      <c r="O32" s="26"/>
      <c r="P32" s="26"/>
      <c r="Q32" s="27"/>
    </row>
    <row r="33" spans="1:17" x14ac:dyDescent="0.25">
      <c r="A33" s="6" t="s">
        <v>35</v>
      </c>
      <c r="B33" s="6">
        <v>18907.25</v>
      </c>
      <c r="C33" s="6">
        <v>18907.25</v>
      </c>
      <c r="D33" s="6">
        <v>0</v>
      </c>
      <c r="E33" s="6">
        <v>4.0599999999999996</v>
      </c>
      <c r="F33" s="6">
        <v>2306</v>
      </c>
      <c r="G33" s="6">
        <v>1</v>
      </c>
      <c r="I33" s="25"/>
      <c r="J33" s="26" t="s">
        <v>121</v>
      </c>
      <c r="K33" s="26"/>
      <c r="L33" s="26"/>
      <c r="M33" s="26"/>
      <c r="N33" s="26"/>
      <c r="O33" s="26"/>
      <c r="P33" s="26"/>
      <c r="Q33" s="27"/>
    </row>
    <row r="34" spans="1:17" x14ac:dyDescent="0.25">
      <c r="A34" s="6" t="s">
        <v>36</v>
      </c>
      <c r="B34" s="6">
        <v>19691</v>
      </c>
      <c r="C34" s="6">
        <v>19691</v>
      </c>
      <c r="D34" s="6">
        <v>0</v>
      </c>
      <c r="E34" s="6">
        <v>6.82</v>
      </c>
      <c r="F34" s="6">
        <v>7891</v>
      </c>
      <c r="G34" s="6">
        <v>1</v>
      </c>
      <c r="I34" s="25"/>
      <c r="J34" s="26" t="s">
        <v>122</v>
      </c>
      <c r="K34" s="26"/>
      <c r="L34" s="26"/>
      <c r="M34" s="26"/>
      <c r="N34" s="26"/>
      <c r="O34" s="26"/>
      <c r="P34" s="26"/>
      <c r="Q34" s="27"/>
    </row>
    <row r="35" spans="1:17" x14ac:dyDescent="0.25">
      <c r="A35" s="14" t="s">
        <v>98</v>
      </c>
      <c r="B35" s="14">
        <f>AVERAGE(B25:B34)</f>
        <v>19033.775000000001</v>
      </c>
      <c r="C35" s="14">
        <f t="shared" ref="C35:G35" si="1">AVERAGE(C25:C34)</f>
        <v>19033.775000000001</v>
      </c>
      <c r="D35" s="14">
        <f t="shared" si="1"/>
        <v>0</v>
      </c>
      <c r="E35" s="14">
        <f t="shared" si="1"/>
        <v>5.266</v>
      </c>
      <c r="F35" s="14">
        <f t="shared" si="1"/>
        <v>5234.2</v>
      </c>
      <c r="G35" s="14">
        <f t="shared" si="1"/>
        <v>1</v>
      </c>
      <c r="I35" s="25"/>
      <c r="J35" s="26" t="s">
        <v>123</v>
      </c>
      <c r="K35" s="26"/>
      <c r="L35" s="26"/>
      <c r="M35" s="26"/>
      <c r="N35" s="26"/>
      <c r="O35" s="26"/>
      <c r="P35" s="26"/>
      <c r="Q35" s="27"/>
    </row>
    <row r="36" spans="1:17" x14ac:dyDescent="0.25">
      <c r="A36" s="2" t="s">
        <v>37</v>
      </c>
      <c r="B36" s="2">
        <v>27644.75</v>
      </c>
      <c r="C36" s="2">
        <v>27644.47</v>
      </c>
      <c r="D36" s="2">
        <v>0</v>
      </c>
      <c r="E36" s="2">
        <v>0.3</v>
      </c>
      <c r="F36" s="2">
        <v>1</v>
      </c>
      <c r="G36" s="2">
        <v>1</v>
      </c>
      <c r="I36" s="25"/>
      <c r="J36" s="26"/>
      <c r="K36" s="26"/>
      <c r="L36" s="26"/>
      <c r="M36" s="26"/>
      <c r="N36" s="26"/>
      <c r="O36" s="26"/>
      <c r="P36" s="26"/>
      <c r="Q36" s="27"/>
    </row>
    <row r="37" spans="1:17" x14ac:dyDescent="0.25">
      <c r="A37" s="2" t="s">
        <v>38</v>
      </c>
      <c r="B37" s="2">
        <v>27899.75</v>
      </c>
      <c r="C37" s="2">
        <v>27899.75</v>
      </c>
      <c r="D37" s="2">
        <v>0</v>
      </c>
      <c r="E37" s="2">
        <v>0.3</v>
      </c>
      <c r="F37" s="2">
        <v>17</v>
      </c>
      <c r="G37" s="2">
        <v>1</v>
      </c>
      <c r="I37" s="25"/>
      <c r="J37" s="26"/>
      <c r="K37" s="26"/>
      <c r="L37" s="26"/>
      <c r="M37" s="26"/>
      <c r="N37" s="26"/>
      <c r="O37" s="26"/>
      <c r="P37" s="26"/>
      <c r="Q37" s="27"/>
    </row>
    <row r="38" spans="1:17" x14ac:dyDescent="0.25">
      <c r="A38" s="2" t="s">
        <v>39</v>
      </c>
      <c r="B38" s="2">
        <v>26362.75</v>
      </c>
      <c r="C38" s="2">
        <v>26362.75</v>
      </c>
      <c r="D38" s="2">
        <v>0</v>
      </c>
      <c r="E38" s="2">
        <v>0.39</v>
      </c>
      <c r="F38" s="2">
        <v>359</v>
      </c>
      <c r="G38" s="2">
        <v>1</v>
      </c>
      <c r="I38" s="25"/>
      <c r="J38" s="26"/>
      <c r="K38" s="26"/>
      <c r="L38" s="26"/>
      <c r="M38" s="26"/>
      <c r="N38" s="26"/>
      <c r="O38" s="26"/>
      <c r="P38" s="26"/>
      <c r="Q38" s="27"/>
    </row>
    <row r="39" spans="1:17" x14ac:dyDescent="0.25">
      <c r="A39" s="2" t="s">
        <v>40</v>
      </c>
      <c r="B39" s="2">
        <v>26819.25</v>
      </c>
      <c r="C39" s="2">
        <v>26819.25</v>
      </c>
      <c r="D39" s="2">
        <v>0</v>
      </c>
      <c r="E39" s="2">
        <v>0.4</v>
      </c>
      <c r="F39" s="2">
        <v>1</v>
      </c>
      <c r="G39" s="2">
        <v>1</v>
      </c>
      <c r="I39" s="25"/>
      <c r="J39" s="26"/>
      <c r="K39" s="26"/>
      <c r="L39" s="26"/>
      <c r="M39" s="26"/>
      <c r="N39" s="26"/>
      <c r="O39" s="26"/>
      <c r="P39" s="26"/>
      <c r="Q39" s="27"/>
    </row>
    <row r="40" spans="1:17" ht="15.75" thickBot="1" x14ac:dyDescent="0.3">
      <c r="A40" s="2" t="s">
        <v>41</v>
      </c>
      <c r="B40" s="2">
        <v>26964</v>
      </c>
      <c r="C40" s="2">
        <v>26964</v>
      </c>
      <c r="D40" s="2">
        <v>0</v>
      </c>
      <c r="E40" s="2">
        <v>0.56000000000000005</v>
      </c>
      <c r="F40" s="2">
        <v>724</v>
      </c>
      <c r="G40" s="2">
        <v>1</v>
      </c>
      <c r="I40" s="28"/>
      <c r="J40" s="29"/>
      <c r="K40" s="29"/>
      <c r="L40" s="29"/>
      <c r="M40" s="29"/>
      <c r="N40" s="29"/>
      <c r="O40" s="29"/>
      <c r="P40" s="29"/>
      <c r="Q40" s="30"/>
    </row>
    <row r="41" spans="1:17" x14ac:dyDescent="0.25">
      <c r="A41" s="2" t="s">
        <v>42</v>
      </c>
      <c r="B41" s="2">
        <v>27787.5</v>
      </c>
      <c r="C41" s="2">
        <v>27787.5</v>
      </c>
      <c r="D41" s="2">
        <v>0</v>
      </c>
      <c r="E41" s="2">
        <v>0.34</v>
      </c>
      <c r="F41" s="2">
        <v>25</v>
      </c>
      <c r="G41" s="2">
        <v>1</v>
      </c>
    </row>
    <row r="42" spans="1:17" x14ac:dyDescent="0.25">
      <c r="A42" s="2" t="s">
        <v>43</v>
      </c>
      <c r="B42" s="2">
        <v>27175.75</v>
      </c>
      <c r="C42" s="2">
        <v>27175.75</v>
      </c>
      <c r="D42" s="2">
        <v>0</v>
      </c>
      <c r="E42" s="2">
        <v>0.31</v>
      </c>
      <c r="F42" s="2">
        <v>1</v>
      </c>
      <c r="G42" s="2">
        <v>1</v>
      </c>
    </row>
    <row r="43" spans="1:17" x14ac:dyDescent="0.25">
      <c r="A43" s="2" t="s">
        <v>44</v>
      </c>
      <c r="B43" s="2">
        <v>27884</v>
      </c>
      <c r="C43" s="2">
        <v>27884</v>
      </c>
      <c r="D43" s="2">
        <v>0</v>
      </c>
      <c r="E43" s="2">
        <v>0.28000000000000003</v>
      </c>
      <c r="F43" s="2">
        <v>35</v>
      </c>
      <c r="G43" s="2">
        <v>1</v>
      </c>
    </row>
    <row r="44" spans="1:17" x14ac:dyDescent="0.25">
      <c r="A44" s="2" t="s">
        <v>45</v>
      </c>
      <c r="B44" s="2">
        <v>27491</v>
      </c>
      <c r="C44" s="2">
        <v>27491</v>
      </c>
      <c r="D44" s="2">
        <v>0</v>
      </c>
      <c r="E44" s="2">
        <v>0.44</v>
      </c>
      <c r="F44" s="2">
        <v>738</v>
      </c>
      <c r="G44" s="2">
        <v>1</v>
      </c>
    </row>
    <row r="45" spans="1:17" x14ac:dyDescent="0.25">
      <c r="A45" s="2" t="s">
        <v>46</v>
      </c>
      <c r="B45" s="2">
        <v>27053.75</v>
      </c>
      <c r="C45" s="2">
        <v>27053.75</v>
      </c>
      <c r="D45" s="2">
        <v>0</v>
      </c>
      <c r="E45" s="2">
        <v>0.24</v>
      </c>
      <c r="F45" s="2">
        <v>1</v>
      </c>
      <c r="G45" s="2">
        <v>1</v>
      </c>
    </row>
    <row r="46" spans="1:17" x14ac:dyDescent="0.25">
      <c r="A46" s="15" t="s">
        <v>99</v>
      </c>
      <c r="B46" s="15">
        <f t="shared" ref="B46:G46" si="2">AVERAGE(B36:B45)</f>
        <v>27308.25</v>
      </c>
      <c r="C46" s="15">
        <f t="shared" si="2"/>
        <v>27308.221999999998</v>
      </c>
      <c r="D46" s="15">
        <f t="shared" si="2"/>
        <v>0</v>
      </c>
      <c r="E46" s="15">
        <f t="shared" si="2"/>
        <v>0.35599999999999998</v>
      </c>
      <c r="F46" s="15">
        <f t="shared" si="2"/>
        <v>190.2</v>
      </c>
      <c r="G46" s="15">
        <f t="shared" si="2"/>
        <v>1</v>
      </c>
    </row>
    <row r="47" spans="1:17" x14ac:dyDescent="0.25">
      <c r="A47" s="7" t="s">
        <v>47</v>
      </c>
      <c r="B47" s="7">
        <v>27657.5</v>
      </c>
      <c r="C47" s="7">
        <v>27657.5</v>
      </c>
      <c r="D47" s="7">
        <v>0</v>
      </c>
      <c r="E47" s="7">
        <v>2.9</v>
      </c>
      <c r="F47" s="7">
        <v>1312</v>
      </c>
      <c r="G47" s="7">
        <v>1</v>
      </c>
    </row>
    <row r="48" spans="1:17" x14ac:dyDescent="0.25">
      <c r="A48" s="7" t="s">
        <v>48</v>
      </c>
      <c r="B48" s="7">
        <v>28268.25</v>
      </c>
      <c r="C48" s="7">
        <v>28268.25</v>
      </c>
      <c r="D48" s="7">
        <v>0</v>
      </c>
      <c r="E48" s="7">
        <v>2.42</v>
      </c>
      <c r="F48" s="7">
        <v>2486</v>
      </c>
      <c r="G48" s="7">
        <v>1</v>
      </c>
    </row>
    <row r="49" spans="1:17" x14ac:dyDescent="0.25">
      <c r="A49" s="7" t="s">
        <v>49</v>
      </c>
      <c r="B49" s="7">
        <v>27783.25</v>
      </c>
      <c r="C49" s="7">
        <v>27783.25</v>
      </c>
      <c r="D49" s="7">
        <v>0</v>
      </c>
      <c r="E49" s="7">
        <v>2.76</v>
      </c>
      <c r="F49" s="7">
        <v>1356</v>
      </c>
      <c r="G49" s="7">
        <v>1</v>
      </c>
    </row>
    <row r="50" spans="1:17" x14ac:dyDescent="0.25">
      <c r="A50" s="7" t="s">
        <v>50</v>
      </c>
      <c r="B50" s="7">
        <v>28441</v>
      </c>
      <c r="C50" s="7">
        <v>28441</v>
      </c>
      <c r="D50" s="7">
        <v>0</v>
      </c>
      <c r="E50" s="7">
        <v>3.51</v>
      </c>
      <c r="F50" s="7">
        <v>1821</v>
      </c>
      <c r="G50" s="7">
        <v>1</v>
      </c>
    </row>
    <row r="51" spans="1:17" x14ac:dyDescent="0.25">
      <c r="A51" s="7" t="s">
        <v>51</v>
      </c>
      <c r="B51" s="7">
        <v>27935.25</v>
      </c>
      <c r="C51" s="7">
        <v>27935.25</v>
      </c>
      <c r="D51" s="7">
        <v>0</v>
      </c>
      <c r="E51" s="7">
        <v>2.34</v>
      </c>
      <c r="F51" s="7">
        <v>2385</v>
      </c>
      <c r="G51" s="7">
        <v>1</v>
      </c>
      <c r="I51" s="31"/>
      <c r="J51" s="31"/>
      <c r="K51" s="31"/>
      <c r="L51" s="31"/>
      <c r="M51" s="31"/>
      <c r="N51" s="31"/>
      <c r="O51" s="31"/>
      <c r="P51" s="31"/>
      <c r="Q51" s="31"/>
    </row>
    <row r="52" spans="1:17" x14ac:dyDescent="0.25">
      <c r="A52" s="7" t="s">
        <v>52</v>
      </c>
      <c r="B52" s="7">
        <v>28535</v>
      </c>
      <c r="C52" s="7">
        <v>28535</v>
      </c>
      <c r="D52" s="7">
        <v>0</v>
      </c>
      <c r="E52" s="7">
        <v>3.82</v>
      </c>
      <c r="F52" s="7">
        <v>2024</v>
      </c>
      <c r="G52" s="7">
        <v>1</v>
      </c>
      <c r="I52" s="31"/>
      <c r="J52" s="31"/>
      <c r="K52" s="31"/>
      <c r="L52" s="31"/>
      <c r="M52" s="31"/>
      <c r="N52" s="31"/>
      <c r="O52" s="31"/>
      <c r="P52" s="31"/>
      <c r="Q52" s="31"/>
    </row>
    <row r="53" spans="1:17" x14ac:dyDescent="0.25">
      <c r="A53" s="7" t="s">
        <v>53</v>
      </c>
      <c r="B53" s="7">
        <v>27554.5</v>
      </c>
      <c r="C53" s="7">
        <v>27554.5</v>
      </c>
      <c r="D53" s="7">
        <v>0</v>
      </c>
      <c r="E53" s="7">
        <v>1.94</v>
      </c>
      <c r="F53" s="7">
        <v>1077</v>
      </c>
      <c r="G53" s="7">
        <v>1</v>
      </c>
      <c r="I53" s="31"/>
      <c r="J53" s="31"/>
      <c r="K53" s="31"/>
      <c r="L53" s="31"/>
      <c r="M53" s="31"/>
      <c r="N53" s="31"/>
      <c r="O53" s="31"/>
      <c r="P53" s="31"/>
      <c r="Q53" s="31"/>
    </row>
    <row r="54" spans="1:17" x14ac:dyDescent="0.25">
      <c r="A54" s="7" t="s">
        <v>54</v>
      </c>
      <c r="B54" s="7">
        <v>28397</v>
      </c>
      <c r="C54" s="7">
        <v>28397</v>
      </c>
      <c r="D54" s="7">
        <v>0</v>
      </c>
      <c r="E54" s="7">
        <v>3.68</v>
      </c>
      <c r="F54" s="7">
        <v>1519</v>
      </c>
      <c r="G54" s="7">
        <v>1</v>
      </c>
      <c r="I54" s="31"/>
      <c r="J54" s="31"/>
      <c r="K54" s="31"/>
      <c r="L54" s="31"/>
      <c r="M54" s="31"/>
      <c r="N54" s="31"/>
      <c r="O54" s="31"/>
      <c r="P54" s="31"/>
      <c r="Q54" s="31"/>
    </row>
    <row r="55" spans="1:17" x14ac:dyDescent="0.25">
      <c r="A55" s="7" t="s">
        <v>55</v>
      </c>
      <c r="B55" s="7">
        <v>28120</v>
      </c>
      <c r="C55" s="7">
        <v>28120</v>
      </c>
      <c r="D55" s="7">
        <v>0</v>
      </c>
      <c r="E55" s="7">
        <v>4.0999999999999996</v>
      </c>
      <c r="F55" s="7">
        <v>1939</v>
      </c>
      <c r="G55" s="7">
        <v>1</v>
      </c>
      <c r="I55" s="31"/>
      <c r="J55" s="31"/>
      <c r="K55" s="31"/>
      <c r="L55" s="31"/>
      <c r="M55" s="31"/>
      <c r="N55" s="31"/>
      <c r="O55" s="31"/>
      <c r="P55" s="31"/>
      <c r="Q55" s="31"/>
    </row>
    <row r="56" spans="1:17" x14ac:dyDescent="0.25">
      <c r="A56" s="7" t="s">
        <v>56</v>
      </c>
      <c r="B56" s="7">
        <v>28452.25</v>
      </c>
      <c r="C56" s="7">
        <v>28452.25</v>
      </c>
      <c r="D56" s="7">
        <v>0</v>
      </c>
      <c r="E56" s="7">
        <v>4.53</v>
      </c>
      <c r="F56" s="7">
        <v>2500</v>
      </c>
      <c r="G56" s="7">
        <v>1</v>
      </c>
      <c r="I56" s="31"/>
      <c r="J56" s="31"/>
      <c r="K56" s="31"/>
      <c r="L56" s="31"/>
      <c r="M56" s="31"/>
      <c r="N56" s="31"/>
      <c r="O56" s="31"/>
      <c r="P56" s="31"/>
      <c r="Q56" s="31"/>
    </row>
    <row r="57" spans="1:17" x14ac:dyDescent="0.25">
      <c r="A57" s="16" t="s">
        <v>100</v>
      </c>
      <c r="B57" s="16">
        <f t="shared" ref="B57:G57" si="3">AVERAGE(B47:B56)</f>
        <v>28114.400000000001</v>
      </c>
      <c r="C57" s="16">
        <f t="shared" si="3"/>
        <v>28114.400000000001</v>
      </c>
      <c r="D57" s="16">
        <f t="shared" si="3"/>
        <v>0</v>
      </c>
      <c r="E57" s="16">
        <f t="shared" si="3"/>
        <v>3.2</v>
      </c>
      <c r="F57" s="16">
        <f t="shared" si="3"/>
        <v>1841.9</v>
      </c>
      <c r="G57" s="16">
        <f t="shared" si="3"/>
        <v>1</v>
      </c>
      <c r="I57" s="31"/>
      <c r="J57" s="31"/>
      <c r="K57" s="31"/>
      <c r="L57" s="31"/>
      <c r="M57" s="31"/>
      <c r="N57" s="31"/>
      <c r="O57" s="31"/>
      <c r="P57" s="31"/>
      <c r="Q57" s="31"/>
    </row>
    <row r="58" spans="1:17" x14ac:dyDescent="0.25">
      <c r="A58" s="8" t="s">
        <v>57</v>
      </c>
      <c r="B58" s="8">
        <v>28031</v>
      </c>
      <c r="C58" s="8">
        <v>28031</v>
      </c>
      <c r="D58" s="8">
        <v>0</v>
      </c>
      <c r="E58" s="8">
        <v>4.04</v>
      </c>
      <c r="F58" s="8">
        <v>2403</v>
      </c>
      <c r="G58" s="8">
        <v>1</v>
      </c>
      <c r="I58" s="31"/>
      <c r="J58" s="31"/>
      <c r="K58" s="31"/>
      <c r="L58" s="31"/>
      <c r="M58" s="31"/>
      <c r="N58" s="31"/>
      <c r="O58" s="31"/>
      <c r="P58" s="31"/>
      <c r="Q58" s="31"/>
    </row>
    <row r="59" spans="1:17" x14ac:dyDescent="0.25">
      <c r="A59" s="8" t="s">
        <v>58</v>
      </c>
      <c r="B59" s="8">
        <v>28188.5</v>
      </c>
      <c r="C59" s="8">
        <v>28188.5</v>
      </c>
      <c r="D59" s="8">
        <v>0</v>
      </c>
      <c r="E59" s="8">
        <v>4.1900000000000004</v>
      </c>
      <c r="F59" s="8">
        <v>4173</v>
      </c>
      <c r="G59" s="8">
        <v>1</v>
      </c>
      <c r="I59" s="31"/>
      <c r="J59" s="31"/>
      <c r="K59" s="31"/>
      <c r="L59" s="31"/>
      <c r="M59" s="31"/>
      <c r="N59" s="31"/>
      <c r="O59" s="31"/>
      <c r="P59" s="31"/>
      <c r="Q59" s="31"/>
    </row>
    <row r="60" spans="1:17" x14ac:dyDescent="0.25">
      <c r="A60" s="8" t="s">
        <v>59</v>
      </c>
      <c r="B60" s="8">
        <v>28862.5</v>
      </c>
      <c r="C60" s="8">
        <v>28862.5</v>
      </c>
      <c r="D60" s="8">
        <v>0</v>
      </c>
      <c r="E60" s="8">
        <v>6.42</v>
      </c>
      <c r="F60" s="8">
        <v>4100</v>
      </c>
      <c r="G60" s="8">
        <v>1</v>
      </c>
      <c r="I60" s="31"/>
      <c r="J60" s="31"/>
      <c r="K60" s="31"/>
      <c r="L60" s="31"/>
      <c r="M60" s="31"/>
      <c r="N60" s="31"/>
      <c r="O60" s="31"/>
      <c r="P60" s="31"/>
      <c r="Q60" s="31"/>
    </row>
    <row r="61" spans="1:17" x14ac:dyDescent="0.25">
      <c r="A61" s="8" t="s">
        <v>60</v>
      </c>
      <c r="B61" s="8">
        <v>29016.25</v>
      </c>
      <c r="C61" s="8">
        <v>29016.25</v>
      </c>
      <c r="D61" s="8">
        <v>0</v>
      </c>
      <c r="E61" s="8">
        <v>5.34</v>
      </c>
      <c r="F61" s="8">
        <v>4875</v>
      </c>
      <c r="G61" s="8">
        <v>1</v>
      </c>
      <c r="I61" s="31"/>
      <c r="J61" s="31"/>
      <c r="K61" s="31"/>
      <c r="L61" s="31"/>
      <c r="M61" s="31"/>
      <c r="N61" s="31"/>
      <c r="O61" s="31"/>
      <c r="P61" s="31"/>
      <c r="Q61" s="31"/>
    </row>
    <row r="62" spans="1:17" x14ac:dyDescent="0.25">
      <c r="A62" s="8" t="s">
        <v>61</v>
      </c>
      <c r="B62" s="8">
        <v>28564.75</v>
      </c>
      <c r="C62" s="8">
        <v>28564.75</v>
      </c>
      <c r="D62" s="8">
        <v>0</v>
      </c>
      <c r="E62" s="8">
        <v>3.98</v>
      </c>
      <c r="F62" s="8">
        <v>1939</v>
      </c>
      <c r="G62" s="8">
        <v>1</v>
      </c>
      <c r="I62" s="31"/>
      <c r="J62" s="31"/>
      <c r="K62" s="31"/>
      <c r="L62" s="31"/>
      <c r="M62" s="31"/>
      <c r="N62" s="31"/>
      <c r="O62" s="31"/>
      <c r="P62" s="31"/>
      <c r="Q62" s="31"/>
    </row>
    <row r="63" spans="1:17" x14ac:dyDescent="0.25">
      <c r="A63" s="8" t="s">
        <v>62</v>
      </c>
      <c r="B63" s="8">
        <v>27975.25</v>
      </c>
      <c r="C63" s="8">
        <v>27975.25</v>
      </c>
      <c r="D63" s="8">
        <v>0</v>
      </c>
      <c r="E63" s="8">
        <v>5.74</v>
      </c>
      <c r="F63" s="8">
        <v>2657</v>
      </c>
      <c r="G63" s="8">
        <v>1</v>
      </c>
      <c r="I63" s="31"/>
      <c r="J63" s="31"/>
      <c r="K63" s="31"/>
      <c r="L63" s="31"/>
      <c r="M63" s="31"/>
      <c r="N63" s="31"/>
      <c r="O63" s="31"/>
      <c r="P63" s="31"/>
      <c r="Q63" s="31"/>
    </row>
    <row r="64" spans="1:17" x14ac:dyDescent="0.25">
      <c r="A64" s="8" t="s">
        <v>63</v>
      </c>
      <c r="B64" s="8">
        <v>29221.5</v>
      </c>
      <c r="C64" s="8">
        <v>29221.5</v>
      </c>
      <c r="D64" s="8">
        <v>0</v>
      </c>
      <c r="E64" s="8">
        <v>6</v>
      </c>
      <c r="F64" s="8">
        <v>4096</v>
      </c>
      <c r="G64" s="8">
        <v>1</v>
      </c>
      <c r="I64" s="31"/>
      <c r="J64" s="31"/>
      <c r="K64" s="31"/>
      <c r="L64" s="31"/>
      <c r="M64" s="31"/>
      <c r="N64" s="31"/>
      <c r="O64" s="31"/>
      <c r="P64" s="31"/>
      <c r="Q64" s="31"/>
    </row>
    <row r="65" spans="1:17" x14ac:dyDescent="0.25">
      <c r="A65" s="8" t="s">
        <v>64</v>
      </c>
      <c r="B65" s="8">
        <v>28663</v>
      </c>
      <c r="C65" s="8">
        <v>28663</v>
      </c>
      <c r="D65" s="8">
        <v>0</v>
      </c>
      <c r="E65" s="8">
        <v>5.23</v>
      </c>
      <c r="F65" s="8">
        <v>2977</v>
      </c>
      <c r="G65" s="8">
        <v>1</v>
      </c>
      <c r="I65" s="31"/>
      <c r="J65" s="31"/>
      <c r="K65" s="31"/>
      <c r="L65" s="31"/>
      <c r="M65" s="31"/>
      <c r="N65" s="31"/>
      <c r="O65" s="31"/>
      <c r="P65" s="31"/>
      <c r="Q65" s="31"/>
    </row>
    <row r="66" spans="1:17" x14ac:dyDescent="0.25">
      <c r="A66" s="8" t="s">
        <v>65</v>
      </c>
      <c r="B66" s="8">
        <v>28519</v>
      </c>
      <c r="C66" s="8">
        <v>28519</v>
      </c>
      <c r="D66" s="8">
        <v>0</v>
      </c>
      <c r="E66" s="8">
        <v>6.12</v>
      </c>
      <c r="F66" s="8">
        <v>3560</v>
      </c>
      <c r="G66" s="8">
        <v>1</v>
      </c>
      <c r="I66" s="31"/>
      <c r="J66" s="31"/>
      <c r="K66" s="31"/>
      <c r="L66" s="31"/>
      <c r="M66" s="31"/>
      <c r="N66" s="31"/>
      <c r="O66" s="31"/>
      <c r="P66" s="31"/>
      <c r="Q66" s="31"/>
    </row>
    <row r="67" spans="1:17" x14ac:dyDescent="0.25">
      <c r="A67" s="8" t="s">
        <v>66</v>
      </c>
      <c r="B67" s="8">
        <v>28692</v>
      </c>
      <c r="C67" s="8">
        <v>28692</v>
      </c>
      <c r="D67" s="8">
        <v>0</v>
      </c>
      <c r="E67" s="8">
        <v>4.9000000000000004</v>
      </c>
      <c r="F67" s="8">
        <v>1994</v>
      </c>
      <c r="G67" s="8">
        <v>1</v>
      </c>
      <c r="I67" s="31"/>
      <c r="J67" s="31"/>
      <c r="K67" s="31"/>
      <c r="L67" s="31"/>
      <c r="M67" s="31"/>
      <c r="N67" s="31"/>
      <c r="O67" s="31"/>
      <c r="P67" s="31"/>
      <c r="Q67" s="31"/>
    </row>
    <row r="68" spans="1:17" x14ac:dyDescent="0.25">
      <c r="A68" s="17" t="s">
        <v>99</v>
      </c>
      <c r="B68" s="17">
        <f>AVERAGE(B58:B67)</f>
        <v>28573.375</v>
      </c>
      <c r="C68" s="17">
        <f t="shared" ref="C68:G68" si="4">AVERAGE(C58:C67)</f>
        <v>28573.375</v>
      </c>
      <c r="D68" s="17">
        <f t="shared" si="4"/>
        <v>0</v>
      </c>
      <c r="E68" s="17">
        <f t="shared" si="4"/>
        <v>5.1959999999999997</v>
      </c>
      <c r="F68" s="17">
        <f t="shared" si="4"/>
        <v>3277.4</v>
      </c>
      <c r="G68" s="17">
        <f t="shared" si="4"/>
        <v>1</v>
      </c>
      <c r="I68" s="31"/>
      <c r="J68" s="31"/>
      <c r="K68" s="31"/>
      <c r="L68" s="31"/>
      <c r="M68" s="31"/>
      <c r="N68" s="31"/>
      <c r="O68" s="31"/>
      <c r="P68" s="31"/>
      <c r="Q68" s="31"/>
    </row>
    <row r="69" spans="1:17" x14ac:dyDescent="0.25">
      <c r="A69" s="3" t="s">
        <v>67</v>
      </c>
      <c r="B69" s="3">
        <v>40183.75</v>
      </c>
      <c r="C69" s="3">
        <v>40183.75</v>
      </c>
      <c r="D69" s="3">
        <v>0</v>
      </c>
      <c r="E69" s="3">
        <v>0.32</v>
      </c>
      <c r="F69" s="3">
        <v>1</v>
      </c>
      <c r="G69" s="3">
        <v>1</v>
      </c>
      <c r="I69" s="31"/>
      <c r="J69" s="31"/>
      <c r="K69" s="31"/>
      <c r="L69" s="31"/>
      <c r="M69" s="31"/>
      <c r="N69" s="31"/>
      <c r="O69" s="31"/>
      <c r="P69" s="31"/>
      <c r="Q69" s="31"/>
    </row>
    <row r="70" spans="1:17" x14ac:dyDescent="0.25">
      <c r="A70" s="3" t="s">
        <v>68</v>
      </c>
      <c r="B70" s="3">
        <v>39153.5</v>
      </c>
      <c r="C70" s="3">
        <v>39153.5</v>
      </c>
      <c r="D70" s="3">
        <v>0</v>
      </c>
      <c r="E70" s="3">
        <v>0.39</v>
      </c>
      <c r="F70" s="3">
        <v>1</v>
      </c>
      <c r="G70" s="3">
        <v>1</v>
      </c>
      <c r="I70" s="31"/>
      <c r="J70" s="31"/>
      <c r="K70" s="31"/>
      <c r="L70" s="31"/>
      <c r="M70" s="31"/>
      <c r="N70" s="31"/>
      <c r="O70" s="31"/>
      <c r="P70" s="31"/>
      <c r="Q70" s="31"/>
    </row>
    <row r="71" spans="1:17" x14ac:dyDescent="0.25">
      <c r="A71" s="3" t="s">
        <v>69</v>
      </c>
      <c r="B71" s="3">
        <v>40329.5</v>
      </c>
      <c r="C71" s="3">
        <v>40329.5</v>
      </c>
      <c r="D71" s="3">
        <v>0</v>
      </c>
      <c r="E71" s="3">
        <v>0.3</v>
      </c>
      <c r="F71" s="3">
        <v>1</v>
      </c>
      <c r="G71" s="3">
        <v>1</v>
      </c>
      <c r="I71" s="31"/>
      <c r="J71" s="31"/>
      <c r="K71" s="31"/>
      <c r="L71" s="31"/>
      <c r="M71" s="31"/>
      <c r="N71" s="31"/>
      <c r="O71" s="31"/>
      <c r="P71" s="31"/>
      <c r="Q71" s="31"/>
    </row>
    <row r="72" spans="1:17" x14ac:dyDescent="0.25">
      <c r="A72" s="3" t="s">
        <v>70</v>
      </c>
      <c r="B72" s="3">
        <v>40598.25</v>
      </c>
      <c r="C72" s="3">
        <v>40598.25</v>
      </c>
      <c r="D72" s="3">
        <v>0</v>
      </c>
      <c r="E72" s="3">
        <v>0.32</v>
      </c>
      <c r="F72" s="3">
        <v>439</v>
      </c>
      <c r="G72" s="3">
        <v>1</v>
      </c>
      <c r="I72" s="31"/>
      <c r="J72" s="31"/>
      <c r="K72" s="31"/>
      <c r="L72" s="31"/>
      <c r="M72" s="31"/>
      <c r="N72" s="31"/>
      <c r="O72" s="31"/>
      <c r="P72" s="31"/>
      <c r="Q72" s="31"/>
    </row>
    <row r="73" spans="1:17" x14ac:dyDescent="0.25">
      <c r="A73" s="3" t="s">
        <v>71</v>
      </c>
      <c r="B73" s="3">
        <v>40513.5</v>
      </c>
      <c r="C73" s="3">
        <v>40513.5</v>
      </c>
      <c r="D73" s="3">
        <v>0</v>
      </c>
      <c r="E73" s="3">
        <v>0.35</v>
      </c>
      <c r="F73" s="3">
        <v>292</v>
      </c>
      <c r="G73" s="3">
        <v>1</v>
      </c>
      <c r="I73" s="31"/>
      <c r="J73" s="31"/>
      <c r="K73" s="31"/>
      <c r="L73" s="31"/>
      <c r="M73" s="31"/>
      <c r="N73" s="31"/>
      <c r="O73" s="31"/>
      <c r="P73" s="31"/>
      <c r="Q73" s="31"/>
    </row>
    <row r="74" spans="1:17" x14ac:dyDescent="0.25">
      <c r="A74" s="3" t="s">
        <v>72</v>
      </c>
      <c r="B74" s="3">
        <v>40352</v>
      </c>
      <c r="C74" s="3">
        <v>40352</v>
      </c>
      <c r="D74" s="3">
        <v>0</v>
      </c>
      <c r="E74" s="3">
        <v>0.51</v>
      </c>
      <c r="F74" s="3">
        <v>648</v>
      </c>
      <c r="G74" s="3">
        <v>1</v>
      </c>
      <c r="I74" s="31"/>
      <c r="J74" s="31"/>
      <c r="K74" s="31"/>
      <c r="L74" s="31"/>
      <c r="M74" s="31"/>
      <c r="N74" s="31"/>
      <c r="O74" s="31"/>
      <c r="P74" s="31"/>
      <c r="Q74" s="31"/>
    </row>
    <row r="75" spans="1:17" x14ac:dyDescent="0.25">
      <c r="A75" s="3" t="s">
        <v>73</v>
      </c>
      <c r="B75" s="3">
        <v>40144.75</v>
      </c>
      <c r="C75" s="3">
        <v>40144.75</v>
      </c>
      <c r="D75" s="3">
        <v>0</v>
      </c>
      <c r="E75" s="3">
        <v>0.36</v>
      </c>
      <c r="F75" s="3">
        <v>146</v>
      </c>
      <c r="G75" s="3">
        <v>1</v>
      </c>
      <c r="I75" s="31"/>
      <c r="J75" s="31"/>
      <c r="K75" s="31"/>
      <c r="L75" s="31"/>
      <c r="M75" s="31"/>
      <c r="N75" s="31"/>
      <c r="O75" s="31"/>
      <c r="P75" s="31"/>
      <c r="Q75" s="31"/>
    </row>
    <row r="76" spans="1:17" x14ac:dyDescent="0.25">
      <c r="A76" s="3" t="s">
        <v>74</v>
      </c>
      <c r="B76" s="3">
        <v>40445</v>
      </c>
      <c r="C76" s="3">
        <v>40445</v>
      </c>
      <c r="D76" s="3">
        <v>0</v>
      </c>
      <c r="E76" s="3">
        <v>0.23</v>
      </c>
      <c r="F76" s="3">
        <v>1</v>
      </c>
      <c r="G76" s="3">
        <v>1</v>
      </c>
      <c r="I76" s="31"/>
      <c r="J76" s="31"/>
      <c r="K76" s="31"/>
      <c r="L76" s="31"/>
      <c r="M76" s="31"/>
      <c r="N76" s="31"/>
      <c r="O76" s="31"/>
      <c r="P76" s="31"/>
      <c r="Q76" s="31"/>
    </row>
    <row r="77" spans="1:17" x14ac:dyDescent="0.25">
      <c r="A77" s="3" t="s">
        <v>75</v>
      </c>
      <c r="B77" s="3">
        <v>39498.25</v>
      </c>
      <c r="C77" s="3">
        <v>39498.25</v>
      </c>
      <c r="D77" s="3">
        <v>0</v>
      </c>
      <c r="E77" s="3">
        <v>0.37</v>
      </c>
      <c r="F77" s="3">
        <v>1</v>
      </c>
      <c r="G77" s="3">
        <v>1</v>
      </c>
      <c r="I77" s="31"/>
      <c r="J77" s="31"/>
      <c r="K77" s="31"/>
      <c r="L77" s="31"/>
      <c r="M77" s="31"/>
      <c r="N77" s="31"/>
      <c r="O77" s="31"/>
      <c r="P77" s="31"/>
      <c r="Q77" s="31"/>
    </row>
    <row r="78" spans="1:17" x14ac:dyDescent="0.25">
      <c r="A78" s="3" t="s">
        <v>76</v>
      </c>
      <c r="B78" s="3">
        <v>40514</v>
      </c>
      <c r="C78" s="3">
        <v>40514</v>
      </c>
      <c r="D78" s="3">
        <v>0</v>
      </c>
      <c r="E78" s="3">
        <v>0.24</v>
      </c>
      <c r="F78" s="3">
        <v>1</v>
      </c>
      <c r="G78" s="3">
        <v>1</v>
      </c>
      <c r="I78" s="31"/>
      <c r="J78" s="31"/>
      <c r="K78" s="31"/>
      <c r="L78" s="31"/>
      <c r="M78" s="31"/>
      <c r="N78" s="31"/>
      <c r="O78" s="31"/>
      <c r="P78" s="31"/>
      <c r="Q78" s="31"/>
    </row>
    <row r="79" spans="1:17" x14ac:dyDescent="0.25">
      <c r="A79" s="19" t="s">
        <v>101</v>
      </c>
      <c r="B79" s="19">
        <f>AVERAGE(B69:B78)</f>
        <v>40173.25</v>
      </c>
      <c r="C79" s="19">
        <f t="shared" ref="C79:G79" si="5">AVERAGE(C69:C78)</f>
        <v>40173.25</v>
      </c>
      <c r="D79" s="19">
        <f t="shared" si="5"/>
        <v>0</v>
      </c>
      <c r="E79" s="19">
        <f t="shared" si="5"/>
        <v>0.33900000000000008</v>
      </c>
      <c r="F79" s="19">
        <f t="shared" si="5"/>
        <v>153.1</v>
      </c>
      <c r="G79" s="19">
        <f t="shared" si="5"/>
        <v>1</v>
      </c>
      <c r="I79" s="31"/>
      <c r="J79" s="31"/>
      <c r="K79" s="31"/>
      <c r="L79" s="31"/>
      <c r="M79" s="31"/>
      <c r="N79" s="31"/>
      <c r="O79" s="31"/>
      <c r="P79" s="31"/>
      <c r="Q79" s="31"/>
    </row>
    <row r="80" spans="1:17" x14ac:dyDescent="0.25">
      <c r="A80" s="9" t="s">
        <v>77</v>
      </c>
      <c r="B80" s="9">
        <v>41504</v>
      </c>
      <c r="C80" s="9">
        <v>41504</v>
      </c>
      <c r="D80" s="9">
        <v>0</v>
      </c>
      <c r="E80" s="9">
        <v>0.83</v>
      </c>
      <c r="F80" s="9">
        <v>835</v>
      </c>
      <c r="G80" s="9">
        <v>1</v>
      </c>
      <c r="I80" s="31"/>
      <c r="J80" s="31"/>
      <c r="K80" s="31"/>
      <c r="L80" s="31"/>
      <c r="M80" s="31"/>
      <c r="N80" s="31"/>
      <c r="O80" s="31"/>
      <c r="P80" s="31"/>
      <c r="Q80" s="31"/>
    </row>
    <row r="81" spans="1:17" x14ac:dyDescent="0.25">
      <c r="A81" s="9" t="s">
        <v>78</v>
      </c>
      <c r="B81" s="9">
        <v>40770.25</v>
      </c>
      <c r="C81" s="9">
        <v>40770.25</v>
      </c>
      <c r="D81" s="9">
        <v>0</v>
      </c>
      <c r="E81" s="9">
        <v>1.08</v>
      </c>
      <c r="F81" s="9">
        <v>969</v>
      </c>
      <c r="G81" s="9">
        <v>1</v>
      </c>
      <c r="I81" s="31"/>
      <c r="J81" s="31"/>
      <c r="K81" s="31"/>
      <c r="L81" s="31"/>
      <c r="M81" s="31"/>
      <c r="N81" s="31"/>
      <c r="O81" s="31"/>
      <c r="P81" s="31"/>
      <c r="Q81" s="31"/>
    </row>
    <row r="82" spans="1:17" x14ac:dyDescent="0.25">
      <c r="A82" s="9" t="s">
        <v>79</v>
      </c>
      <c r="B82" s="9">
        <v>41377.5</v>
      </c>
      <c r="C82" s="9">
        <v>41377.5</v>
      </c>
      <c r="D82" s="9">
        <v>0</v>
      </c>
      <c r="E82" s="9">
        <v>2.4</v>
      </c>
      <c r="F82" s="9">
        <v>2764</v>
      </c>
      <c r="G82" s="9">
        <v>1</v>
      </c>
    </row>
    <row r="83" spans="1:17" x14ac:dyDescent="0.25">
      <c r="A83" s="9" t="s">
        <v>80</v>
      </c>
      <c r="B83" s="9">
        <v>42369</v>
      </c>
      <c r="C83" s="9">
        <v>42369</v>
      </c>
      <c r="D83" s="9">
        <v>0</v>
      </c>
      <c r="E83" s="9">
        <v>3.15</v>
      </c>
      <c r="F83" s="9">
        <v>1134</v>
      </c>
      <c r="G83" s="9">
        <v>1</v>
      </c>
    </row>
    <row r="84" spans="1:17" x14ac:dyDescent="0.25">
      <c r="A84" s="9" t="s">
        <v>81</v>
      </c>
      <c r="B84" s="9">
        <v>41885</v>
      </c>
      <c r="C84" s="9">
        <v>41885</v>
      </c>
      <c r="D84" s="9">
        <v>0</v>
      </c>
      <c r="E84" s="9">
        <v>2.06</v>
      </c>
      <c r="F84" s="9">
        <v>2258</v>
      </c>
      <c r="G84" s="9">
        <v>1</v>
      </c>
    </row>
    <row r="85" spans="1:17" x14ac:dyDescent="0.25">
      <c r="A85" s="9" t="s">
        <v>82</v>
      </c>
      <c r="B85" s="9">
        <v>41760</v>
      </c>
      <c r="C85" s="9">
        <v>41760</v>
      </c>
      <c r="D85" s="9">
        <v>0</v>
      </c>
      <c r="E85" s="9">
        <v>3.07</v>
      </c>
      <c r="F85" s="9">
        <v>1288</v>
      </c>
      <c r="G85" s="9">
        <v>1</v>
      </c>
    </row>
    <row r="86" spans="1:17" x14ac:dyDescent="0.25">
      <c r="A86" s="9" t="s">
        <v>83</v>
      </c>
      <c r="B86" s="9">
        <v>40736.5</v>
      </c>
      <c r="C86" s="9">
        <v>40736.5</v>
      </c>
      <c r="D86" s="9">
        <v>0</v>
      </c>
      <c r="E86" s="9">
        <v>1.56</v>
      </c>
      <c r="F86" s="9">
        <v>908</v>
      </c>
      <c r="G86" s="9">
        <v>1</v>
      </c>
    </row>
    <row r="87" spans="1:17" x14ac:dyDescent="0.25">
      <c r="A87" s="9" t="s">
        <v>84</v>
      </c>
      <c r="B87" s="9">
        <v>40308.75</v>
      </c>
      <c r="C87" s="9">
        <v>40308.75</v>
      </c>
      <c r="D87" s="9">
        <v>0</v>
      </c>
      <c r="E87" s="9">
        <v>1.19</v>
      </c>
      <c r="F87" s="9">
        <v>1032</v>
      </c>
      <c r="G87" s="9">
        <v>1</v>
      </c>
    </row>
    <row r="88" spans="1:17" x14ac:dyDescent="0.25">
      <c r="A88" s="9" t="s">
        <v>85</v>
      </c>
      <c r="B88" s="9">
        <v>42207.5</v>
      </c>
      <c r="C88" s="9">
        <v>42207.5</v>
      </c>
      <c r="D88" s="9">
        <v>0</v>
      </c>
      <c r="E88" s="9">
        <v>1.06</v>
      </c>
      <c r="F88" s="9">
        <v>919</v>
      </c>
      <c r="G88" s="9">
        <v>1</v>
      </c>
    </row>
    <row r="89" spans="1:17" x14ac:dyDescent="0.25">
      <c r="A89" s="9" t="s">
        <v>86</v>
      </c>
      <c r="B89" s="9">
        <v>41976</v>
      </c>
      <c r="C89" s="9">
        <v>41976</v>
      </c>
      <c r="D89" s="9">
        <v>0</v>
      </c>
      <c r="E89" s="9">
        <v>3.16</v>
      </c>
      <c r="F89" s="9">
        <v>1393</v>
      </c>
      <c r="G89" s="9">
        <v>1</v>
      </c>
    </row>
    <row r="90" spans="1:17" x14ac:dyDescent="0.25">
      <c r="A90" s="18" t="s">
        <v>101</v>
      </c>
      <c r="B90" s="18">
        <f>AVERAGE(B80:B89)</f>
        <v>41489.449999999997</v>
      </c>
      <c r="C90" s="18">
        <f t="shared" ref="C90:G90" si="6">AVERAGE(C80:C89)</f>
        <v>41489.449999999997</v>
      </c>
      <c r="D90" s="18">
        <f t="shared" si="6"/>
        <v>0</v>
      </c>
      <c r="E90" s="18">
        <f t="shared" si="6"/>
        <v>1.9560000000000002</v>
      </c>
      <c r="F90" s="18">
        <f t="shared" si="6"/>
        <v>1350</v>
      </c>
      <c r="G90" s="18">
        <f t="shared" si="6"/>
        <v>1</v>
      </c>
    </row>
    <row r="91" spans="1:17" x14ac:dyDescent="0.25">
      <c r="A91" s="10" t="s">
        <v>87</v>
      </c>
      <c r="B91" s="10">
        <v>43083.5</v>
      </c>
      <c r="C91" s="10">
        <v>43083.5</v>
      </c>
      <c r="D91" s="10">
        <v>0</v>
      </c>
      <c r="E91" s="10">
        <v>3.85</v>
      </c>
      <c r="F91" s="10">
        <v>1304</v>
      </c>
      <c r="G91" s="10">
        <v>1</v>
      </c>
    </row>
    <row r="92" spans="1:17" x14ac:dyDescent="0.25">
      <c r="A92" s="10" t="s">
        <v>88</v>
      </c>
      <c r="B92" s="10">
        <v>43116</v>
      </c>
      <c r="C92" s="10">
        <v>43116</v>
      </c>
      <c r="D92" s="10">
        <v>0</v>
      </c>
      <c r="E92" s="10">
        <v>4.83</v>
      </c>
      <c r="F92" s="10">
        <v>2570</v>
      </c>
      <c r="G92" s="10">
        <v>1</v>
      </c>
    </row>
    <row r="93" spans="1:17" x14ac:dyDescent="0.25">
      <c r="A93" s="10" t="s">
        <v>89</v>
      </c>
      <c r="B93" s="10">
        <v>41542.25</v>
      </c>
      <c r="C93" s="10">
        <v>41542.25</v>
      </c>
      <c r="D93" s="10">
        <v>0</v>
      </c>
      <c r="E93" s="10">
        <v>2.35</v>
      </c>
      <c r="F93" s="10">
        <v>1005</v>
      </c>
      <c r="G93" s="10">
        <v>1</v>
      </c>
    </row>
    <row r="94" spans="1:17" x14ac:dyDescent="0.25">
      <c r="A94" s="10" t="s">
        <v>90</v>
      </c>
      <c r="B94" s="10">
        <v>41783.25</v>
      </c>
      <c r="C94" s="10">
        <v>41783.25</v>
      </c>
      <c r="D94" s="10">
        <v>0</v>
      </c>
      <c r="E94" s="10">
        <v>3.15</v>
      </c>
      <c r="F94" s="10">
        <v>1161</v>
      </c>
      <c r="G94" s="10">
        <v>1</v>
      </c>
    </row>
    <row r="95" spans="1:17" x14ac:dyDescent="0.25">
      <c r="A95" s="10" t="s">
        <v>91</v>
      </c>
      <c r="B95" s="10">
        <v>41949</v>
      </c>
      <c r="C95" s="10">
        <v>41949</v>
      </c>
      <c r="D95" s="10">
        <v>0</v>
      </c>
      <c r="E95" s="10">
        <v>4.37</v>
      </c>
      <c r="F95" s="10">
        <v>1885</v>
      </c>
      <c r="G95" s="10">
        <v>1</v>
      </c>
    </row>
    <row r="96" spans="1:17" x14ac:dyDescent="0.25">
      <c r="A96" s="10" t="s">
        <v>92</v>
      </c>
      <c r="B96" s="10">
        <v>42499</v>
      </c>
      <c r="C96" s="10">
        <v>42499</v>
      </c>
      <c r="D96" s="10">
        <v>0</v>
      </c>
      <c r="E96" s="10">
        <v>4.28</v>
      </c>
      <c r="F96" s="10">
        <v>2510</v>
      </c>
      <c r="G96" s="10">
        <v>1</v>
      </c>
    </row>
    <row r="97" spans="1:7" x14ac:dyDescent="0.25">
      <c r="A97" s="10" t="s">
        <v>93</v>
      </c>
      <c r="B97" s="10">
        <v>42055.25</v>
      </c>
      <c r="C97" s="10">
        <v>42055.25</v>
      </c>
      <c r="D97" s="10">
        <v>0</v>
      </c>
      <c r="E97" s="10">
        <v>3.91</v>
      </c>
      <c r="F97" s="10">
        <v>1713</v>
      </c>
      <c r="G97" s="10">
        <v>1</v>
      </c>
    </row>
    <row r="98" spans="1:7" x14ac:dyDescent="0.25">
      <c r="A98" s="10" t="s">
        <v>94</v>
      </c>
      <c r="B98" s="10">
        <v>41285.5</v>
      </c>
      <c r="C98" s="10">
        <v>41285.5</v>
      </c>
      <c r="D98" s="10">
        <v>0</v>
      </c>
      <c r="E98" s="10">
        <v>3.35</v>
      </c>
      <c r="F98" s="10">
        <v>958</v>
      </c>
      <c r="G98" s="10">
        <v>1</v>
      </c>
    </row>
    <row r="99" spans="1:7" x14ac:dyDescent="0.25">
      <c r="A99" s="10" t="s">
        <v>95</v>
      </c>
      <c r="B99" s="10">
        <v>42274.25</v>
      </c>
      <c r="C99" s="10">
        <v>42274.25</v>
      </c>
      <c r="D99" s="10">
        <v>0</v>
      </c>
      <c r="E99" s="10">
        <v>3.59</v>
      </c>
      <c r="F99" s="10">
        <v>1831</v>
      </c>
      <c r="G99" s="10">
        <v>1</v>
      </c>
    </row>
    <row r="100" spans="1:7" x14ac:dyDescent="0.25">
      <c r="A100" s="10" t="s">
        <v>96</v>
      </c>
      <c r="B100" s="10">
        <v>42749.25</v>
      </c>
      <c r="C100" s="10">
        <v>42749.25</v>
      </c>
      <c r="D100" s="10">
        <v>0</v>
      </c>
      <c r="E100" s="10">
        <v>3.46</v>
      </c>
      <c r="F100" s="10">
        <v>1269</v>
      </c>
      <c r="G100" s="10">
        <v>1</v>
      </c>
    </row>
    <row r="101" spans="1:7" x14ac:dyDescent="0.25">
      <c r="A101" s="20" t="s">
        <v>101</v>
      </c>
      <c r="B101" s="20">
        <f>AVERAGE(B91:B100)</f>
        <v>42233.724999999999</v>
      </c>
      <c r="C101" s="20">
        <f t="shared" ref="C101:G101" si="7">AVERAGE(C91:C100)</f>
        <v>42233.724999999999</v>
      </c>
      <c r="D101" s="20">
        <f t="shared" si="7"/>
        <v>0</v>
      </c>
      <c r="E101" s="20">
        <f t="shared" si="7"/>
        <v>3.7140000000000009</v>
      </c>
      <c r="F101" s="20">
        <f t="shared" si="7"/>
        <v>1620.6</v>
      </c>
      <c r="G101" s="20">
        <f t="shared" si="7"/>
        <v>1</v>
      </c>
    </row>
    <row r="102" spans="1:7" x14ac:dyDescent="0.25">
      <c r="A102" s="21" t="s">
        <v>97</v>
      </c>
      <c r="B102" s="21">
        <v>29295.21</v>
      </c>
      <c r="C102" s="21">
        <v>29295.17</v>
      </c>
      <c r="D102" s="21">
        <v>0</v>
      </c>
      <c r="E102" s="21">
        <v>2.5</v>
      </c>
      <c r="F102" s="21">
        <v>1729.86</v>
      </c>
      <c r="G102" s="21">
        <v>90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ANDRESSA</cp:lastModifiedBy>
  <dcterms:created xsi:type="dcterms:W3CDTF">2026-02-07T00:03:37Z</dcterms:created>
  <dcterms:modified xsi:type="dcterms:W3CDTF">2026-02-07T02:48:42Z</dcterms:modified>
</cp:coreProperties>
</file>