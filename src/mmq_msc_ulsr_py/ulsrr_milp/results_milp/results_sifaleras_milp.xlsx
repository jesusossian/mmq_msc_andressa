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1929"/>
  <workbookPr/>
  <mc:AlternateContent xmlns:mc="http://schemas.openxmlformats.org/markup-compatibility/2006">
    <mc:Choice Requires="x15">
      <x15ac:absPath xmlns:x15ac="http://schemas.microsoft.com/office/spreadsheetml/2010/11/ac" url="C:\Users\ANDRESSA\Desktop\mmq_msc_ulsr_py\ulsrr_milp\results_milp\"/>
    </mc:Choice>
  </mc:AlternateContent>
  <xr:revisionPtr revIDLastSave="0" documentId="13_ncr:1_{9A58D7DB-487C-41CC-B982-31F442DAC5F6}" xr6:coauthVersionLast="44" xr6:coauthVersionMax="44" xr10:uidLastSave="{00000000-0000-0000-0000-000000000000}"/>
  <bookViews>
    <workbookView xWindow="-120" yWindow="-120" windowWidth="20730" windowHeight="11760" xr2:uid="{00000000-000D-0000-FFFF-FFFF00000000}"/>
  </bookViews>
  <sheets>
    <sheet name="Sheet1" sheetId="1" r:id="rId1"/>
    <sheet name="tabela grupos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</xcalcf:calcFeatures>
    </ext>
  </extLst>
</workbook>
</file>

<file path=xl/calcChain.xml><?xml version="1.0" encoding="utf-8"?>
<calcChain xmlns="http://schemas.openxmlformats.org/spreadsheetml/2006/main">
  <c r="H12" i="2" l="1"/>
  <c r="D12" i="2"/>
  <c r="E12" i="2"/>
  <c r="F12" i="2"/>
  <c r="G12" i="2"/>
  <c r="C12" i="2"/>
  <c r="P71" i="1"/>
  <c r="L71" i="1"/>
  <c r="M71" i="1"/>
  <c r="N71" i="1"/>
  <c r="O71" i="1"/>
  <c r="K71" i="1"/>
  <c r="X71" i="1"/>
  <c r="T71" i="1"/>
  <c r="U71" i="1"/>
  <c r="V71" i="1"/>
  <c r="W71" i="1"/>
  <c r="S71" i="1"/>
  <c r="AF71" i="1"/>
  <c r="AB71" i="1"/>
  <c r="AC71" i="1"/>
  <c r="AD71" i="1"/>
  <c r="AE71" i="1"/>
  <c r="AA71" i="1"/>
  <c r="AF55" i="1"/>
  <c r="AB55" i="1"/>
  <c r="AC55" i="1"/>
  <c r="AD55" i="1"/>
  <c r="AE55" i="1"/>
  <c r="AA55" i="1"/>
  <c r="X55" i="1"/>
  <c r="T55" i="1"/>
  <c r="U55" i="1"/>
  <c r="V55" i="1"/>
  <c r="W55" i="1"/>
  <c r="S55" i="1"/>
  <c r="P55" i="1"/>
  <c r="L55" i="1"/>
  <c r="M55" i="1"/>
  <c r="N55" i="1"/>
  <c r="O55" i="1"/>
  <c r="K55" i="1"/>
  <c r="AF39" i="1"/>
  <c r="AD39" i="1"/>
  <c r="AE39" i="1"/>
  <c r="AB39" i="1"/>
  <c r="AC39" i="1"/>
  <c r="AA39" i="1"/>
  <c r="X39" i="1"/>
  <c r="T39" i="1"/>
  <c r="U39" i="1"/>
  <c r="V39" i="1"/>
  <c r="W39" i="1"/>
  <c r="S39" i="1"/>
  <c r="P39" i="1"/>
  <c r="L39" i="1"/>
  <c r="M39" i="1"/>
  <c r="N39" i="1"/>
  <c r="O39" i="1"/>
  <c r="K39" i="1"/>
  <c r="E111" i="1" l="1"/>
</calcChain>
</file>

<file path=xl/sharedStrings.xml><?xml version="1.0" encoding="utf-8"?>
<sst xmlns="http://schemas.openxmlformats.org/spreadsheetml/2006/main" count="329" uniqueCount="137">
  <si>
    <t>instance</t>
  </si>
  <si>
    <t>objval</t>
  </si>
  <si>
    <t>objbound</t>
  </si>
  <si>
    <t>mipgap</t>
  </si>
  <si>
    <t>time</t>
  </si>
  <si>
    <t>nodes</t>
  </si>
  <si>
    <t>opt</t>
  </si>
  <si>
    <t>52_1.txt</t>
  </si>
  <si>
    <t>52_2.txt</t>
  </si>
  <si>
    <t>52_3.txt</t>
  </si>
  <si>
    <t>52_4.txt</t>
  </si>
  <si>
    <t>52_5.txt</t>
  </si>
  <si>
    <t>52_6.txt</t>
  </si>
  <si>
    <t>52_7.txt</t>
  </si>
  <si>
    <t>52_8.txt</t>
  </si>
  <si>
    <t>52_9.txt</t>
  </si>
  <si>
    <t>52_10.txt</t>
  </si>
  <si>
    <t>52_11.txt</t>
  </si>
  <si>
    <t>52_12.txt</t>
  </si>
  <si>
    <t>52_13.txt</t>
  </si>
  <si>
    <t>52_14.txt</t>
  </si>
  <si>
    <t>52_15.txt</t>
  </si>
  <si>
    <t>52_16.txt</t>
  </si>
  <si>
    <t>52_17.txt</t>
  </si>
  <si>
    <t>52_18.txt</t>
  </si>
  <si>
    <t>52_19.txt</t>
  </si>
  <si>
    <t>52_20.txt</t>
  </si>
  <si>
    <t>52_21.txt</t>
  </si>
  <si>
    <t>52_22.txt</t>
  </si>
  <si>
    <t>52_23.txt</t>
  </si>
  <si>
    <t>52_24.txt</t>
  </si>
  <si>
    <t>52_25.txt</t>
  </si>
  <si>
    <t>52_26.txt</t>
  </si>
  <si>
    <t>52_27.txt</t>
  </si>
  <si>
    <t>52_28.txt</t>
  </si>
  <si>
    <t>52_29.txt</t>
  </si>
  <si>
    <t>52_30.txt</t>
  </si>
  <si>
    <t>52_31.txt</t>
  </si>
  <si>
    <t>52_32.txt</t>
  </si>
  <si>
    <t>52_33.txt</t>
  </si>
  <si>
    <t>52_34.txt</t>
  </si>
  <si>
    <t>52_35.txt</t>
  </si>
  <si>
    <t>52_36.txt</t>
  </si>
  <si>
    <t>52_37.txt</t>
  </si>
  <si>
    <t>52_38.txt</t>
  </si>
  <si>
    <t>52_39.txt</t>
  </si>
  <si>
    <t>52_40.txt</t>
  </si>
  <si>
    <t>52_41.txt</t>
  </si>
  <si>
    <t>52_42.txt</t>
  </si>
  <si>
    <t>52_43.txt</t>
  </si>
  <si>
    <t>52_44.txt</t>
  </si>
  <si>
    <t>52_45.txt</t>
  </si>
  <si>
    <t>52_46.txt</t>
  </si>
  <si>
    <t>52_47.txt</t>
  </si>
  <si>
    <t>52_48.txt</t>
  </si>
  <si>
    <t>52_49.txt</t>
  </si>
  <si>
    <t>52_50.txt</t>
  </si>
  <si>
    <t>52_51.txt</t>
  </si>
  <si>
    <t>52_52.txt</t>
  </si>
  <si>
    <t>52_53.txt</t>
  </si>
  <si>
    <t>52_54.txt</t>
  </si>
  <si>
    <t>52_55.txt</t>
  </si>
  <si>
    <t>52_56.txt</t>
  </si>
  <si>
    <t>52_57.txt</t>
  </si>
  <si>
    <t>52_58.txt</t>
  </si>
  <si>
    <t>52_59.txt</t>
  </si>
  <si>
    <t>52_60.txt</t>
  </si>
  <si>
    <t>52_61.txt</t>
  </si>
  <si>
    <t>52_62.txt</t>
  </si>
  <si>
    <t>52_63.txt</t>
  </si>
  <si>
    <t>52_64.txt</t>
  </si>
  <si>
    <t>52_65.txt</t>
  </si>
  <si>
    <t>52_66.txt</t>
  </si>
  <si>
    <t>52_67.txt</t>
  </si>
  <si>
    <t>52_68.txt</t>
  </si>
  <si>
    <t>52_69.txt</t>
  </si>
  <si>
    <t>52_70.txt</t>
  </si>
  <si>
    <t>52_71.txt</t>
  </si>
  <si>
    <t>52_72.txt</t>
  </si>
  <si>
    <t>52_73.txt</t>
  </si>
  <si>
    <t>52_74.txt</t>
  </si>
  <si>
    <t>52_75.txt</t>
  </si>
  <si>
    <t>52_76.txt</t>
  </si>
  <si>
    <t>52_77.txt</t>
  </si>
  <si>
    <t>52_78.txt</t>
  </si>
  <si>
    <t>52_79.txt</t>
  </si>
  <si>
    <t>52_80.txt</t>
  </si>
  <si>
    <t>52_81.txt</t>
  </si>
  <si>
    <t>52_82.txt</t>
  </si>
  <si>
    <t>52_83.txt</t>
  </si>
  <si>
    <t>52_84.txt</t>
  </si>
  <si>
    <t>52_85.txt</t>
  </si>
  <si>
    <t>52_86.txt</t>
  </si>
  <si>
    <t>52_87.txt</t>
  </si>
  <si>
    <t>52_88.txt</t>
  </si>
  <si>
    <t>52_89.txt</t>
  </si>
  <si>
    <t>52_90.txt</t>
  </si>
  <si>
    <t>52_91.txt</t>
  </si>
  <si>
    <t>52_92.txt</t>
  </si>
  <si>
    <t>52_93.txt</t>
  </si>
  <si>
    <t>52_94.txt</t>
  </si>
  <si>
    <t>52_95.txt</t>
  </si>
  <si>
    <t>52_96.txt</t>
  </si>
  <si>
    <t>52_97.txt</t>
  </si>
  <si>
    <t>52_98.txt</t>
  </si>
  <si>
    <t>52_99.txt</t>
  </si>
  <si>
    <t>52_100.txt</t>
  </si>
  <si>
    <t>52_101.txt</t>
  </si>
  <si>
    <t>52_102.txt</t>
  </si>
  <si>
    <t>52_103.txt</t>
  </si>
  <si>
    <t>52_104.txt</t>
  </si>
  <si>
    <t>52_105.txt</t>
  </si>
  <si>
    <t>52_106.txt</t>
  </si>
  <si>
    <t>52_107.txt</t>
  </si>
  <si>
    <t>52_108.txt</t>
  </si>
  <si>
    <t>resume</t>
  </si>
  <si>
    <t>108 instâncias</t>
  </si>
  <si>
    <t xml:space="preserve"> ├─ 36 (setup baixo)</t>
  </si>
  <si>
    <t xml:space="preserve"> │   ├─ 12 (retorno baixo)</t>
  </si>
  <si>
    <t xml:space="preserve"> │   ├─ 12 (retorno médio)</t>
  </si>
  <si>
    <t xml:space="preserve"> │   └─ 12 (retorno alto)</t>
  </si>
  <si>
    <t xml:space="preserve"> ├─ 36 (setup médio)</t>
  </si>
  <si>
    <t xml:space="preserve"> └─ 36 (setup alto)</t>
  </si>
  <si>
    <t xml:space="preserve">     ├─ 12 (retorno baixo)</t>
  </si>
  <si>
    <t xml:space="preserve">     ├─ 12 (retorno médio)</t>
  </si>
  <si>
    <t xml:space="preserve">     └─ 12 (retorno alto)</t>
  </si>
  <si>
    <t>CARACTERÍSTICAS DAS INSTÂNCIAS DE SIFALERAS</t>
  </si>
  <si>
    <t>1954119.0</t>
  </si>
  <si>
    <t>stp01</t>
  </si>
  <si>
    <t>stp02</t>
  </si>
  <si>
    <t>stp03</t>
  </si>
  <si>
    <t>stp04</t>
  </si>
  <si>
    <t>stp05</t>
  </si>
  <si>
    <t>stp06</t>
  </si>
  <si>
    <t>stp09</t>
  </si>
  <si>
    <t>stp08</t>
  </si>
  <si>
    <t>stp07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</si>
</sst>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E+00"/>
    <numFmt numFmtId="165" formatCode="0.000"/>
  </numFmts>
  <fonts count="5" x14ac:knownFonts="1">
    <font>
      <sz val="11"/>
      <color theme="1"/>
      <name val="Calibri"/>
      <family val="2"/>
      <scheme val="minor"/>
    </font>
    <font>
      <b/>
      <sz val="11"/>
      <name val="Calibri"/>
    </font>
    <font>
      <b/>
      <sz val="11"/>
      <color theme="1"/>
      <name val="Calibri"/>
      <family val="2"/>
      <scheme val="minor"/>
    </font>
    <font>
      <b/>
      <sz val="11"/>
      <name val="Calibri"/>
      <family val="2"/>
    </font>
    <font>
      <sz val="11"/>
      <name val="Calibri"/>
      <family val="2"/>
      <scheme val="minor"/>
    </font>
  </fonts>
  <fills count="1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6" tint="-0.249977111117893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B050"/>
        <bgColor indexed="64"/>
      </patternFill>
    </fill>
  </fills>
  <borders count="51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thin">
        <color theme="9" tint="-0.499984740745262"/>
      </bottom>
      <diagonal/>
    </border>
    <border>
      <left style="medium">
        <color theme="9" tint="-0.499984740745262"/>
      </left>
      <right/>
      <top style="medium">
        <color theme="9" tint="-0.499984740745262"/>
      </top>
      <bottom/>
      <diagonal/>
    </border>
    <border>
      <left/>
      <right/>
      <top style="medium">
        <color theme="9" tint="-0.499984740745262"/>
      </top>
      <bottom/>
      <diagonal/>
    </border>
    <border>
      <left/>
      <right style="medium">
        <color theme="9" tint="-0.499984740745262"/>
      </right>
      <top style="medium">
        <color theme="9" tint="-0.499984740745262"/>
      </top>
      <bottom/>
      <diagonal/>
    </border>
    <border>
      <left style="medium">
        <color theme="9" tint="-0.499984740745262"/>
      </left>
      <right/>
      <top/>
      <bottom/>
      <diagonal/>
    </border>
    <border>
      <left/>
      <right style="medium">
        <color theme="9" tint="-0.499984740745262"/>
      </right>
      <top/>
      <bottom/>
      <diagonal/>
    </border>
    <border>
      <left style="medium">
        <color theme="9" tint="-0.499984740745262"/>
      </left>
      <right/>
      <top/>
      <bottom style="medium">
        <color theme="9" tint="-0.499984740745262"/>
      </bottom>
      <diagonal/>
    </border>
    <border>
      <left/>
      <right/>
      <top/>
      <bottom style="medium">
        <color theme="9" tint="-0.499984740745262"/>
      </bottom>
      <diagonal/>
    </border>
    <border>
      <left/>
      <right style="medium">
        <color theme="9" tint="-0.499984740745262"/>
      </right>
      <top/>
      <bottom style="medium">
        <color theme="9" tint="-0.499984740745262"/>
      </bottom>
      <diagonal/>
    </border>
    <border>
      <left style="medium">
        <color indexed="64"/>
      </left>
      <right style="thin">
        <color theme="4"/>
      </right>
      <top style="thin">
        <color theme="4"/>
      </top>
      <bottom style="thin">
        <color theme="4"/>
      </bottom>
      <diagonal/>
    </border>
    <border>
      <left style="medium">
        <color indexed="64"/>
      </left>
      <right style="thin">
        <color theme="4"/>
      </right>
      <top style="medium">
        <color indexed="64"/>
      </top>
      <bottom style="thin">
        <color theme="4"/>
      </bottom>
      <diagonal/>
    </border>
    <border>
      <left style="thin">
        <color theme="4"/>
      </left>
      <right style="thin">
        <color theme="4"/>
      </right>
      <top style="thin">
        <color theme="4"/>
      </top>
      <bottom style="thin">
        <color theme="4"/>
      </bottom>
      <diagonal/>
    </border>
    <border>
      <left style="thin">
        <color theme="4"/>
      </left>
      <right style="thin">
        <color theme="4"/>
      </right>
      <top style="medium">
        <color indexed="64"/>
      </top>
      <bottom style="thin">
        <color theme="4"/>
      </bottom>
      <diagonal/>
    </border>
    <border>
      <left style="thin">
        <color theme="4"/>
      </left>
      <right style="medium">
        <color indexed="64"/>
      </right>
      <top style="thin">
        <color theme="4"/>
      </top>
      <bottom style="thin">
        <color theme="4"/>
      </bottom>
      <diagonal/>
    </border>
    <border>
      <left style="thin">
        <color theme="4"/>
      </left>
      <right style="medium">
        <color indexed="64"/>
      </right>
      <top style="medium">
        <color indexed="64"/>
      </top>
      <bottom style="thin">
        <color theme="4"/>
      </bottom>
      <diagonal/>
    </border>
    <border>
      <left style="medium">
        <color indexed="64"/>
      </left>
      <right style="thin">
        <color theme="4"/>
      </right>
      <top style="thin">
        <color theme="4"/>
      </top>
      <bottom style="medium">
        <color indexed="64"/>
      </bottom>
      <diagonal/>
    </border>
    <border>
      <left style="thin">
        <color theme="4"/>
      </left>
      <right style="thin">
        <color theme="4"/>
      </right>
      <top style="thin">
        <color theme="4"/>
      </top>
      <bottom style="medium">
        <color indexed="64"/>
      </bottom>
      <diagonal/>
    </border>
    <border>
      <left style="thin">
        <color theme="4"/>
      </left>
      <right style="medium">
        <color indexed="64"/>
      </right>
      <top style="thin">
        <color theme="4"/>
      </top>
      <bottom style="medium">
        <color indexed="64"/>
      </bottom>
      <diagonal/>
    </border>
    <border>
      <left style="medium">
        <color theme="9" tint="-0.499984740745262"/>
      </left>
      <right style="thin">
        <color theme="4"/>
      </right>
      <top style="thin">
        <color theme="4"/>
      </top>
      <bottom style="thin">
        <color theme="4"/>
      </bottom>
      <diagonal/>
    </border>
    <border>
      <left style="thin">
        <color theme="4"/>
      </left>
      <right style="medium">
        <color theme="9" tint="-0.499984740745262"/>
      </right>
      <top style="thin">
        <color theme="4"/>
      </top>
      <bottom style="thin">
        <color theme="4"/>
      </bottom>
      <diagonal/>
    </border>
    <border>
      <left style="medium">
        <color theme="9" tint="-0.499984740745262"/>
      </left>
      <right style="thin">
        <color theme="4"/>
      </right>
      <top style="medium">
        <color theme="9" tint="-0.499984740745262"/>
      </top>
      <bottom style="thin">
        <color theme="4"/>
      </bottom>
      <diagonal/>
    </border>
    <border>
      <left style="thin">
        <color theme="4"/>
      </left>
      <right style="thin">
        <color theme="4"/>
      </right>
      <top style="medium">
        <color theme="9" tint="-0.499984740745262"/>
      </top>
      <bottom style="thin">
        <color theme="4"/>
      </bottom>
      <diagonal/>
    </border>
    <border>
      <left style="thin">
        <color theme="4"/>
      </left>
      <right style="medium">
        <color theme="9" tint="-0.499984740745262"/>
      </right>
      <top style="medium">
        <color theme="9" tint="-0.499984740745262"/>
      </top>
      <bottom style="thin">
        <color theme="4"/>
      </bottom>
      <diagonal/>
    </border>
    <border>
      <left style="medium">
        <color indexed="64"/>
      </left>
      <right style="thin">
        <color theme="4"/>
      </right>
      <top style="thin">
        <color theme="4"/>
      </top>
      <bottom/>
      <diagonal/>
    </border>
    <border>
      <left style="thin">
        <color theme="4"/>
      </left>
      <right style="thin">
        <color theme="4"/>
      </right>
      <top style="thin">
        <color theme="4"/>
      </top>
      <bottom/>
      <diagonal/>
    </border>
    <border>
      <left style="thin">
        <color theme="4"/>
      </left>
      <right style="medium">
        <color indexed="64"/>
      </right>
      <top style="thin">
        <color theme="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theme="9" tint="-0.499984740745262"/>
      </left>
      <right style="thin">
        <color theme="4"/>
      </right>
      <top style="thin">
        <color theme="4"/>
      </top>
      <bottom/>
      <diagonal/>
    </border>
    <border>
      <left style="thin">
        <color theme="4"/>
      </left>
      <right style="medium">
        <color theme="9" tint="-0.499984740745262"/>
      </right>
      <top style="thin">
        <color theme="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theme="4"/>
      </bottom>
      <diagonal/>
    </border>
  </borders>
  <cellStyleXfs count="1">
    <xf numFmtId="0" fontId="0" fillId="0" borderId="0"/>
  </cellStyleXfs>
  <cellXfs count="183">
    <xf numFmtId="0" fontId="0" fillId="0" borderId="0" xfId="0"/>
    <xf numFmtId="0" fontId="0" fillId="2" borderId="1" xfId="0" applyFill="1" applyBorder="1"/>
    <xf numFmtId="0" fontId="0" fillId="2" borderId="2" xfId="0" applyFill="1" applyBorder="1"/>
    <xf numFmtId="0" fontId="0" fillId="2" borderId="3" xfId="0" applyFill="1" applyBorder="1"/>
    <xf numFmtId="0" fontId="0" fillId="2" borderId="4" xfId="0" applyFill="1" applyBorder="1"/>
    <xf numFmtId="0" fontId="0" fillId="2" borderId="0" xfId="0" applyFill="1" applyBorder="1"/>
    <xf numFmtId="0" fontId="0" fillId="2" borderId="5" xfId="0" applyFill="1" applyBorder="1"/>
    <xf numFmtId="0" fontId="0" fillId="2" borderId="6" xfId="0" applyFill="1" applyBorder="1"/>
    <xf numFmtId="0" fontId="0" fillId="2" borderId="7" xfId="0" applyFill="1" applyBorder="1"/>
    <xf numFmtId="0" fontId="0" fillId="2" borderId="8" xfId="0" applyFill="1" applyBorder="1"/>
    <xf numFmtId="0" fontId="2" fillId="2" borderId="0" xfId="0" applyFont="1" applyFill="1" applyBorder="1"/>
    <xf numFmtId="0" fontId="0" fillId="0" borderId="0" xfId="0" applyFill="1" applyBorder="1"/>
    <xf numFmtId="0" fontId="0" fillId="6" borderId="0" xfId="0" applyFill="1"/>
    <xf numFmtId="0" fontId="1" fillId="0" borderId="9" xfId="0" applyFont="1" applyBorder="1" applyAlignment="1">
      <alignment horizontal="center" vertical="top"/>
    </xf>
    <xf numFmtId="0" fontId="0" fillId="3" borderId="10" xfId="0" applyFill="1" applyBorder="1"/>
    <xf numFmtId="0" fontId="0" fillId="3" borderId="11" xfId="0" applyFill="1" applyBorder="1"/>
    <xf numFmtId="0" fontId="0" fillId="3" borderId="12" xfId="0" applyFill="1" applyBorder="1"/>
    <xf numFmtId="0" fontId="0" fillId="3" borderId="13" xfId="0" applyFill="1" applyBorder="1"/>
    <xf numFmtId="0" fontId="0" fillId="3" borderId="0" xfId="0" applyFill="1" applyBorder="1"/>
    <xf numFmtId="0" fontId="0" fillId="3" borderId="14" xfId="0" applyFill="1" applyBorder="1"/>
    <xf numFmtId="0" fontId="0" fillId="0" borderId="18" xfId="0" applyBorder="1"/>
    <xf numFmtId="0" fontId="0" fillId="7" borderId="19" xfId="0" applyFill="1" applyBorder="1"/>
    <xf numFmtId="0" fontId="0" fillId="7" borderId="20" xfId="0" applyFill="1" applyBorder="1"/>
    <xf numFmtId="0" fontId="0" fillId="7" borderId="21" xfId="0" applyFill="1" applyBorder="1"/>
    <xf numFmtId="0" fontId="0" fillId="7" borderId="22" xfId="0" applyFill="1" applyBorder="1"/>
    <xf numFmtId="0" fontId="0" fillId="7" borderId="0" xfId="0" applyFill="1" applyBorder="1"/>
    <xf numFmtId="0" fontId="0" fillId="7" borderId="23" xfId="0" applyFill="1" applyBorder="1"/>
    <xf numFmtId="0" fontId="0" fillId="7" borderId="24" xfId="0" applyFill="1" applyBorder="1"/>
    <xf numFmtId="0" fontId="0" fillId="7" borderId="25" xfId="0" applyFill="1" applyBorder="1"/>
    <xf numFmtId="0" fontId="0" fillId="7" borderId="26" xfId="0" applyFill="1" applyBorder="1"/>
    <xf numFmtId="0" fontId="0" fillId="8" borderId="19" xfId="0" applyFill="1" applyBorder="1"/>
    <xf numFmtId="0" fontId="0" fillId="8" borderId="20" xfId="0" applyFill="1" applyBorder="1"/>
    <xf numFmtId="0" fontId="0" fillId="8" borderId="21" xfId="0" applyFill="1" applyBorder="1"/>
    <xf numFmtId="0" fontId="0" fillId="8" borderId="22" xfId="0" applyFill="1" applyBorder="1"/>
    <xf numFmtId="0" fontId="0" fillId="8" borderId="0" xfId="0" applyFill="1" applyBorder="1"/>
    <xf numFmtId="0" fontId="0" fillId="8" borderId="23" xfId="0" applyFill="1" applyBorder="1"/>
    <xf numFmtId="0" fontId="0" fillId="4" borderId="10" xfId="0" applyFill="1" applyBorder="1"/>
    <xf numFmtId="0" fontId="0" fillId="4" borderId="11" xfId="0" applyFill="1" applyBorder="1"/>
    <xf numFmtId="0" fontId="0" fillId="4" borderId="12" xfId="0" applyFill="1" applyBorder="1"/>
    <xf numFmtId="0" fontId="0" fillId="4" borderId="13" xfId="0" applyFill="1" applyBorder="1"/>
    <xf numFmtId="0" fontId="0" fillId="4" borderId="0" xfId="0" applyFill="1" applyBorder="1"/>
    <xf numFmtId="0" fontId="0" fillId="4" borderId="14" xfId="0" applyFill="1" applyBorder="1"/>
    <xf numFmtId="0" fontId="0" fillId="4" borderId="15" xfId="0" applyFill="1" applyBorder="1"/>
    <xf numFmtId="0" fontId="0" fillId="4" borderId="16" xfId="0" applyFill="1" applyBorder="1"/>
    <xf numFmtId="0" fontId="0" fillId="4" borderId="17" xfId="0" applyFill="1" applyBorder="1"/>
    <xf numFmtId="0" fontId="0" fillId="9" borderId="10" xfId="0" applyFill="1" applyBorder="1"/>
    <xf numFmtId="0" fontId="0" fillId="9" borderId="11" xfId="0" applyFill="1" applyBorder="1"/>
    <xf numFmtId="0" fontId="0" fillId="9" borderId="12" xfId="0" applyFill="1" applyBorder="1"/>
    <xf numFmtId="0" fontId="0" fillId="9" borderId="13" xfId="0" applyFill="1" applyBorder="1"/>
    <xf numFmtId="0" fontId="0" fillId="9" borderId="0" xfId="0" applyFill="1" applyBorder="1"/>
    <xf numFmtId="0" fontId="0" fillId="9" borderId="14" xfId="0" applyFill="1" applyBorder="1"/>
    <xf numFmtId="0" fontId="0" fillId="9" borderId="15" xfId="0" applyFill="1" applyBorder="1"/>
    <xf numFmtId="0" fontId="0" fillId="9" borderId="16" xfId="0" applyFill="1" applyBorder="1"/>
    <xf numFmtId="0" fontId="0" fillId="9" borderId="17" xfId="0" applyFill="1" applyBorder="1"/>
    <xf numFmtId="0" fontId="0" fillId="10" borderId="10" xfId="0" applyFill="1" applyBorder="1"/>
    <xf numFmtId="0" fontId="0" fillId="10" borderId="11" xfId="0" applyFill="1" applyBorder="1"/>
    <xf numFmtId="0" fontId="0" fillId="10" borderId="12" xfId="0" applyFill="1" applyBorder="1"/>
    <xf numFmtId="0" fontId="0" fillId="10" borderId="13" xfId="0" applyFill="1" applyBorder="1"/>
    <xf numFmtId="0" fontId="0" fillId="10" borderId="0" xfId="0" applyFill="1" applyBorder="1"/>
    <xf numFmtId="0" fontId="0" fillId="10" borderId="14" xfId="0" applyFill="1" applyBorder="1"/>
    <xf numFmtId="0" fontId="0" fillId="10" borderId="15" xfId="0" applyFill="1" applyBorder="1"/>
    <xf numFmtId="0" fontId="0" fillId="10" borderId="16" xfId="0" applyFill="1" applyBorder="1"/>
    <xf numFmtId="0" fontId="0" fillId="10" borderId="17" xfId="0" applyFill="1" applyBorder="1"/>
    <xf numFmtId="0" fontId="0" fillId="5" borderId="10" xfId="0" applyFill="1" applyBorder="1"/>
    <xf numFmtId="0" fontId="0" fillId="5" borderId="11" xfId="0" applyFill="1" applyBorder="1"/>
    <xf numFmtId="0" fontId="0" fillId="5" borderId="12" xfId="0" applyFill="1" applyBorder="1"/>
    <xf numFmtId="0" fontId="0" fillId="5" borderId="13" xfId="0" applyFill="1" applyBorder="1"/>
    <xf numFmtId="0" fontId="0" fillId="5" borderId="0" xfId="0" applyFill="1" applyBorder="1"/>
    <xf numFmtId="0" fontId="0" fillId="5" borderId="14" xfId="0" applyFill="1" applyBorder="1"/>
    <xf numFmtId="0" fontId="0" fillId="5" borderId="15" xfId="0" applyFill="1" applyBorder="1"/>
    <xf numFmtId="0" fontId="0" fillId="5" borderId="16" xfId="0" applyFill="1" applyBorder="1"/>
    <xf numFmtId="0" fontId="0" fillId="5" borderId="17" xfId="0" applyFill="1" applyBorder="1"/>
    <xf numFmtId="0" fontId="0" fillId="11" borderId="10" xfId="0" applyFill="1" applyBorder="1"/>
    <xf numFmtId="0" fontId="0" fillId="11" borderId="11" xfId="0" applyFill="1" applyBorder="1"/>
    <xf numFmtId="0" fontId="0" fillId="11" borderId="12" xfId="0" applyFill="1" applyBorder="1"/>
    <xf numFmtId="0" fontId="0" fillId="11" borderId="13" xfId="0" applyFill="1" applyBorder="1"/>
    <xf numFmtId="0" fontId="0" fillId="11" borderId="0" xfId="0" applyFill="1" applyBorder="1"/>
    <xf numFmtId="0" fontId="0" fillId="11" borderId="14" xfId="0" applyFill="1" applyBorder="1"/>
    <xf numFmtId="0" fontId="0" fillId="11" borderId="15" xfId="0" applyFill="1" applyBorder="1"/>
    <xf numFmtId="0" fontId="0" fillId="11" borderId="16" xfId="0" applyFill="1" applyBorder="1"/>
    <xf numFmtId="0" fontId="0" fillId="11" borderId="17" xfId="0" applyFill="1" applyBorder="1"/>
    <xf numFmtId="0" fontId="0" fillId="12" borderId="10" xfId="0" applyFill="1" applyBorder="1"/>
    <xf numFmtId="0" fontId="0" fillId="12" borderId="11" xfId="0" applyFill="1" applyBorder="1"/>
    <xf numFmtId="0" fontId="0" fillId="12" borderId="12" xfId="0" applyFill="1" applyBorder="1"/>
    <xf numFmtId="0" fontId="0" fillId="12" borderId="13" xfId="0" applyFill="1" applyBorder="1"/>
    <xf numFmtId="0" fontId="0" fillId="12" borderId="0" xfId="0" applyFill="1" applyBorder="1"/>
    <xf numFmtId="0" fontId="0" fillId="12" borderId="14" xfId="0" applyFill="1" applyBorder="1"/>
    <xf numFmtId="0" fontId="0" fillId="12" borderId="15" xfId="0" applyFill="1" applyBorder="1"/>
    <xf numFmtId="0" fontId="0" fillId="12" borderId="16" xfId="0" applyFill="1" applyBorder="1"/>
    <xf numFmtId="0" fontId="0" fillId="12" borderId="17" xfId="0" applyFill="1" applyBorder="1"/>
    <xf numFmtId="0" fontId="0" fillId="3" borderId="28" xfId="0" applyFont="1" applyFill="1" applyBorder="1"/>
    <xf numFmtId="0" fontId="0" fillId="3" borderId="30" xfId="0" applyFont="1" applyFill="1" applyBorder="1"/>
    <xf numFmtId="0" fontId="0" fillId="3" borderId="32" xfId="0" applyFont="1" applyFill="1" applyBorder="1"/>
    <xf numFmtId="0" fontId="0" fillId="3" borderId="27" xfId="0" applyFont="1" applyFill="1" applyBorder="1"/>
    <xf numFmtId="0" fontId="0" fillId="3" borderId="29" xfId="0" applyFont="1" applyFill="1" applyBorder="1"/>
    <xf numFmtId="0" fontId="0" fillId="3" borderId="31" xfId="0" applyFont="1" applyFill="1" applyBorder="1"/>
    <xf numFmtId="0" fontId="0" fillId="7" borderId="38" xfId="0" applyFont="1" applyFill="1" applyBorder="1"/>
    <xf numFmtId="0" fontId="0" fillId="7" borderId="39" xfId="0" applyFont="1" applyFill="1" applyBorder="1"/>
    <xf numFmtId="0" fontId="0" fillId="7" borderId="40" xfId="0" applyFont="1" applyFill="1" applyBorder="1"/>
    <xf numFmtId="0" fontId="0" fillId="7" borderId="36" xfId="0" applyFont="1" applyFill="1" applyBorder="1"/>
    <xf numFmtId="0" fontId="0" fillId="7" borderId="29" xfId="0" applyFont="1" applyFill="1" applyBorder="1"/>
    <xf numFmtId="0" fontId="0" fillId="7" borderId="37" xfId="0" applyFont="1" applyFill="1" applyBorder="1"/>
    <xf numFmtId="0" fontId="0" fillId="8" borderId="38" xfId="0" applyFont="1" applyFill="1" applyBorder="1"/>
    <xf numFmtId="0" fontId="0" fillId="8" borderId="39" xfId="0" applyFont="1" applyFill="1" applyBorder="1"/>
    <xf numFmtId="0" fontId="0" fillId="8" borderId="40" xfId="0" applyFont="1" applyFill="1" applyBorder="1"/>
    <xf numFmtId="0" fontId="0" fillId="8" borderId="36" xfId="0" applyFont="1" applyFill="1" applyBorder="1"/>
    <xf numFmtId="0" fontId="0" fillId="8" borderId="29" xfId="0" applyFont="1" applyFill="1" applyBorder="1"/>
    <xf numFmtId="0" fontId="0" fillId="8" borderId="37" xfId="0" applyFont="1" applyFill="1" applyBorder="1"/>
    <xf numFmtId="0" fontId="0" fillId="4" borderId="28" xfId="0" applyFont="1" applyFill="1" applyBorder="1"/>
    <xf numFmtId="0" fontId="0" fillId="4" borderId="30" xfId="0" applyFont="1" applyFill="1" applyBorder="1"/>
    <xf numFmtId="0" fontId="0" fillId="4" borderId="32" xfId="0" applyFont="1" applyFill="1" applyBorder="1"/>
    <xf numFmtId="0" fontId="0" fillId="4" borderId="27" xfId="0" applyFont="1" applyFill="1" applyBorder="1"/>
    <xf numFmtId="0" fontId="0" fillId="4" borderId="29" xfId="0" applyFont="1" applyFill="1" applyBorder="1"/>
    <xf numFmtId="0" fontId="0" fillId="4" borderId="31" xfId="0" applyFont="1" applyFill="1" applyBorder="1"/>
    <xf numFmtId="0" fontId="0" fillId="4" borderId="33" xfId="0" applyFont="1" applyFill="1" applyBorder="1"/>
    <xf numFmtId="0" fontId="0" fillId="4" borderId="34" xfId="0" applyFont="1" applyFill="1" applyBorder="1"/>
    <xf numFmtId="0" fontId="0" fillId="4" borderId="35" xfId="0" applyFont="1" applyFill="1" applyBorder="1"/>
    <xf numFmtId="0" fontId="0" fillId="9" borderId="28" xfId="0" applyFont="1" applyFill="1" applyBorder="1"/>
    <xf numFmtId="0" fontId="0" fillId="9" borderId="30" xfId="0" applyFont="1" applyFill="1" applyBorder="1"/>
    <xf numFmtId="0" fontId="0" fillId="9" borderId="32" xfId="0" applyFont="1" applyFill="1" applyBorder="1"/>
    <xf numFmtId="0" fontId="0" fillId="9" borderId="27" xfId="0" applyFont="1" applyFill="1" applyBorder="1"/>
    <xf numFmtId="0" fontId="0" fillId="9" borderId="29" xfId="0" applyFont="1" applyFill="1" applyBorder="1"/>
    <xf numFmtId="0" fontId="0" fillId="9" borderId="31" xfId="0" applyFont="1" applyFill="1" applyBorder="1"/>
    <xf numFmtId="0" fontId="0" fillId="9" borderId="33" xfId="0" applyFont="1" applyFill="1" applyBorder="1"/>
    <xf numFmtId="0" fontId="0" fillId="9" borderId="34" xfId="0" applyFont="1" applyFill="1" applyBorder="1"/>
    <xf numFmtId="0" fontId="0" fillId="9" borderId="35" xfId="0" applyFont="1" applyFill="1" applyBorder="1"/>
    <xf numFmtId="0" fontId="0" fillId="13" borderId="28" xfId="0" applyFont="1" applyFill="1" applyBorder="1"/>
    <xf numFmtId="0" fontId="0" fillId="13" borderId="30" xfId="0" applyFont="1" applyFill="1" applyBorder="1"/>
    <xf numFmtId="0" fontId="0" fillId="13" borderId="32" xfId="0" applyFont="1" applyFill="1" applyBorder="1"/>
    <xf numFmtId="0" fontId="0" fillId="13" borderId="27" xfId="0" applyFont="1" applyFill="1" applyBorder="1"/>
    <xf numFmtId="0" fontId="0" fillId="13" borderId="29" xfId="0" applyFont="1" applyFill="1" applyBorder="1"/>
    <xf numFmtId="0" fontId="0" fillId="13" borderId="31" xfId="0" applyFont="1" applyFill="1" applyBorder="1"/>
    <xf numFmtId="0" fontId="0" fillId="13" borderId="33" xfId="0" applyFont="1" applyFill="1" applyBorder="1"/>
    <xf numFmtId="0" fontId="0" fillId="13" borderId="34" xfId="0" applyFont="1" applyFill="1" applyBorder="1"/>
    <xf numFmtId="0" fontId="0" fillId="13" borderId="35" xfId="0" applyFont="1" applyFill="1" applyBorder="1"/>
    <xf numFmtId="0" fontId="0" fillId="5" borderId="28" xfId="0" applyFont="1" applyFill="1" applyBorder="1"/>
    <xf numFmtId="0" fontId="0" fillId="5" borderId="30" xfId="0" applyFont="1" applyFill="1" applyBorder="1"/>
    <xf numFmtId="0" fontId="0" fillId="5" borderId="32" xfId="0" applyFont="1" applyFill="1" applyBorder="1"/>
    <xf numFmtId="0" fontId="0" fillId="5" borderId="27" xfId="0" applyFont="1" applyFill="1" applyBorder="1"/>
    <xf numFmtId="0" fontId="0" fillId="5" borderId="29" xfId="0" applyFont="1" applyFill="1" applyBorder="1"/>
    <xf numFmtId="0" fontId="0" fillId="5" borderId="31" xfId="0" applyFont="1" applyFill="1" applyBorder="1"/>
    <xf numFmtId="0" fontId="0" fillId="5" borderId="33" xfId="0" applyFont="1" applyFill="1" applyBorder="1"/>
    <xf numFmtId="0" fontId="0" fillId="5" borderId="34" xfId="0" applyFont="1" applyFill="1" applyBorder="1"/>
    <xf numFmtId="0" fontId="0" fillId="5" borderId="35" xfId="0" applyFont="1" applyFill="1" applyBorder="1"/>
    <xf numFmtId="0" fontId="0" fillId="11" borderId="28" xfId="0" applyFont="1" applyFill="1" applyBorder="1"/>
    <xf numFmtId="0" fontId="0" fillId="11" borderId="30" xfId="0" applyFont="1" applyFill="1" applyBorder="1"/>
    <xf numFmtId="0" fontId="0" fillId="11" borderId="32" xfId="0" applyFont="1" applyFill="1" applyBorder="1"/>
    <xf numFmtId="0" fontId="0" fillId="11" borderId="27" xfId="0" applyFont="1" applyFill="1" applyBorder="1"/>
    <xf numFmtId="0" fontId="0" fillId="11" borderId="29" xfId="0" applyFont="1" applyFill="1" applyBorder="1"/>
    <xf numFmtId="0" fontId="0" fillId="11" borderId="31" xfId="0" applyFont="1" applyFill="1" applyBorder="1"/>
    <xf numFmtId="0" fontId="0" fillId="11" borderId="33" xfId="0" applyFont="1" applyFill="1" applyBorder="1"/>
    <xf numFmtId="0" fontId="0" fillId="11" borderId="34" xfId="0" applyFont="1" applyFill="1" applyBorder="1"/>
    <xf numFmtId="0" fontId="0" fillId="11" borderId="35" xfId="0" applyFont="1" applyFill="1" applyBorder="1"/>
    <xf numFmtId="0" fontId="0" fillId="12" borderId="28" xfId="0" applyFont="1" applyFill="1" applyBorder="1"/>
    <xf numFmtId="0" fontId="0" fillId="12" borderId="30" xfId="0" applyFont="1" applyFill="1" applyBorder="1"/>
    <xf numFmtId="0" fontId="0" fillId="12" borderId="32" xfId="0" applyFont="1" applyFill="1" applyBorder="1"/>
    <xf numFmtId="0" fontId="0" fillId="12" borderId="27" xfId="0" applyFont="1" applyFill="1" applyBorder="1"/>
    <xf numFmtId="0" fontId="0" fillId="12" borderId="29" xfId="0" applyFont="1" applyFill="1" applyBorder="1"/>
    <xf numFmtId="0" fontId="0" fillId="12" borderId="31" xfId="0" applyFont="1" applyFill="1" applyBorder="1"/>
    <xf numFmtId="0" fontId="0" fillId="12" borderId="33" xfId="0" applyFont="1" applyFill="1" applyBorder="1"/>
    <xf numFmtId="0" fontId="0" fillId="12" borderId="34" xfId="0" applyFont="1" applyFill="1" applyBorder="1"/>
    <xf numFmtId="0" fontId="0" fillId="12" borderId="35" xfId="0" applyFont="1" applyFill="1" applyBorder="1"/>
    <xf numFmtId="0" fontId="0" fillId="3" borderId="41" xfId="0" applyFont="1" applyFill="1" applyBorder="1"/>
    <xf numFmtId="0" fontId="0" fillId="3" borderId="42" xfId="0" applyFont="1" applyFill="1" applyBorder="1"/>
    <xf numFmtId="0" fontId="0" fillId="3" borderId="43" xfId="0" applyFont="1" applyFill="1" applyBorder="1"/>
    <xf numFmtId="0" fontId="4" fillId="14" borderId="44" xfId="0" applyFont="1" applyFill="1" applyBorder="1"/>
    <xf numFmtId="0" fontId="4" fillId="14" borderId="45" xfId="0" applyFont="1" applyFill="1" applyBorder="1"/>
    <xf numFmtId="0" fontId="0" fillId="7" borderId="47" xfId="0" applyFont="1" applyFill="1" applyBorder="1"/>
    <xf numFmtId="0" fontId="0" fillId="7" borderId="42" xfId="0" applyFont="1" applyFill="1" applyBorder="1"/>
    <xf numFmtId="0" fontId="0" fillId="7" borderId="48" xfId="0" applyFont="1" applyFill="1" applyBorder="1"/>
    <xf numFmtId="0" fontId="0" fillId="14" borderId="44" xfId="0" applyFill="1" applyBorder="1"/>
    <xf numFmtId="0" fontId="0" fillId="14" borderId="45" xfId="0" applyFill="1" applyBorder="1"/>
    <xf numFmtId="0" fontId="0" fillId="14" borderId="46" xfId="0" applyFill="1" applyBorder="1"/>
    <xf numFmtId="0" fontId="0" fillId="8" borderId="47" xfId="0" applyFont="1" applyFill="1" applyBorder="1"/>
    <xf numFmtId="0" fontId="0" fillId="8" borderId="42" xfId="0" applyFont="1" applyFill="1" applyBorder="1"/>
    <xf numFmtId="0" fontId="0" fillId="8" borderId="48" xfId="0" applyFont="1" applyFill="1" applyBorder="1"/>
    <xf numFmtId="0" fontId="3" fillId="0" borderId="49" xfId="0" applyFont="1" applyBorder="1" applyAlignment="1">
      <alignment horizontal="center" vertical="top"/>
    </xf>
    <xf numFmtId="0" fontId="0" fillId="0" borderId="49" xfId="0" applyBorder="1"/>
    <xf numFmtId="0" fontId="0" fillId="0" borderId="49" xfId="0" applyFill="1" applyBorder="1"/>
    <xf numFmtId="164" fontId="0" fillId="0" borderId="49" xfId="0" applyNumberFormat="1" applyBorder="1"/>
    <xf numFmtId="165" fontId="0" fillId="0" borderId="49" xfId="0" applyNumberFormat="1" applyBorder="1"/>
    <xf numFmtId="2" fontId="0" fillId="0" borderId="49" xfId="0" applyNumberFormat="1" applyBorder="1"/>
    <xf numFmtId="0" fontId="3" fillId="0" borderId="50" xfId="0" applyFont="1" applyBorder="1" applyAlignment="1">
      <alignment horizontal="center" vertical="top"/>
    </xf>
  </cellXfs>
  <cellStyles count="1">
    <cellStyle name="Normal" xfId="0" builtinId="0"/>
  </cellStyles>
  <dxfs count="3">
    <dxf>
      <border outline="0">
        <top style="thin">
          <color auto="1"/>
        </top>
      </border>
    </dxf>
    <dxf>
      <border outline="0"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EF84F335-13FA-4461-B541-F7BE0F7D31E4}" name="Tabela2" displayName="Tabela2" ref="A1:G111" totalsRowCount="1" headerRowDxfId="2" headerRowBorderDxfId="1" tableBorderDxfId="0">
  <autoFilter ref="A1:G110" xr:uid="{4C79FF2C-5CED-4928-9EF8-82B69A0B2645}"/>
  <tableColumns count="7">
    <tableColumn id="1" xr3:uid="{8601CED2-59BD-4A71-876C-0BD8D789271B}" name="instance"/>
    <tableColumn id="2" xr3:uid="{09F0CD0C-033E-4882-8FCE-FE9ED06E517E}" name="objval"/>
    <tableColumn id="3" xr3:uid="{73B76BF2-0CA6-4181-97D4-4044C4AE5750}" name="objbound"/>
    <tableColumn id="4" xr3:uid="{6163DBEF-032F-4480-B84D-1739A53129DB}" name="mipgap"/>
    <tableColumn id="5" xr3:uid="{978CB4EF-E1EB-4AD3-BFB4-4E9F85678C49}" name="time" totalsRowFunction="custom">
      <totalsRowFormula>SUM(E2:E109)</totalsRowFormula>
    </tableColumn>
    <tableColumn id="6" xr3:uid="{B422FDD4-CA5C-4F7F-8B9C-A84292A67CF1}" name="nodes"/>
    <tableColumn id="7" xr3:uid="{DE0961A5-7EA2-4480-81C0-A3E94AB77E55}" name="opt"/>
  </tableColumns>
  <tableStyleInfo name="TableStyleLight16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F111"/>
  <sheetViews>
    <sheetView tabSelected="1" topLeftCell="M22" workbookViewId="0">
      <selection activeCell="Z26" sqref="Z26:AF26"/>
    </sheetView>
  </sheetViews>
  <sheetFormatPr defaultRowHeight="15" x14ac:dyDescent="0.25"/>
  <cols>
    <col min="1" max="1" width="10.5703125" customWidth="1"/>
    <col min="2" max="2" width="10" customWidth="1"/>
    <col min="3" max="3" width="11.7109375" customWidth="1"/>
    <col min="4" max="4" width="9.7109375" customWidth="1"/>
    <col min="29" max="29" width="13.140625" customWidth="1"/>
  </cols>
  <sheetData>
    <row r="1" spans="1:19" ht="15.75" thickBot="1" x14ac:dyDescent="0.3">
      <c r="A1" s="13" t="s">
        <v>0</v>
      </c>
      <c r="B1" s="13" t="s">
        <v>1</v>
      </c>
      <c r="C1" s="13" t="s">
        <v>2</v>
      </c>
      <c r="D1" s="13" t="s">
        <v>3</v>
      </c>
      <c r="E1" s="13" t="s">
        <v>4</v>
      </c>
      <c r="F1" s="13" t="s">
        <v>5</v>
      </c>
      <c r="G1" s="13" t="s">
        <v>6</v>
      </c>
    </row>
    <row r="2" spans="1:19" x14ac:dyDescent="0.25">
      <c r="A2" s="14" t="s">
        <v>7</v>
      </c>
      <c r="B2" s="15">
        <v>8698.7999999999993</v>
      </c>
      <c r="C2" s="15">
        <v>8698.7999999999993</v>
      </c>
      <c r="D2" s="15">
        <v>0</v>
      </c>
      <c r="E2" s="15">
        <v>11.86</v>
      </c>
      <c r="F2" s="15">
        <v>15677</v>
      </c>
      <c r="G2" s="16">
        <v>1</v>
      </c>
      <c r="K2" s="1"/>
      <c r="L2" s="2"/>
      <c r="M2" s="2"/>
      <c r="N2" s="2"/>
      <c r="O2" s="2"/>
      <c r="P2" s="2"/>
      <c r="Q2" s="2"/>
      <c r="R2" s="2"/>
      <c r="S2" s="3"/>
    </row>
    <row r="3" spans="1:19" x14ac:dyDescent="0.25">
      <c r="A3" s="17" t="s">
        <v>8</v>
      </c>
      <c r="B3" s="18">
        <v>8781.7999999999993</v>
      </c>
      <c r="C3" s="18">
        <v>8781.7999999999993</v>
      </c>
      <c r="D3" s="18">
        <v>0</v>
      </c>
      <c r="E3" s="18">
        <v>53.23</v>
      </c>
      <c r="F3" s="18">
        <v>100081</v>
      </c>
      <c r="G3" s="19">
        <v>1</v>
      </c>
      <c r="K3" s="4"/>
      <c r="L3" s="5"/>
      <c r="M3" s="5"/>
      <c r="N3" s="5"/>
      <c r="O3" s="5"/>
      <c r="P3" s="5"/>
      <c r="Q3" s="5"/>
      <c r="R3" s="5"/>
      <c r="S3" s="6"/>
    </row>
    <row r="4" spans="1:19" x14ac:dyDescent="0.25">
      <c r="A4" s="17" t="s">
        <v>9</v>
      </c>
      <c r="B4" s="18">
        <v>8541.6</v>
      </c>
      <c r="C4" s="18">
        <v>8541.6</v>
      </c>
      <c r="D4" s="18">
        <v>0</v>
      </c>
      <c r="E4" s="18">
        <v>7.66</v>
      </c>
      <c r="F4" s="18">
        <v>8037</v>
      </c>
      <c r="G4" s="19">
        <v>1</v>
      </c>
      <c r="K4" s="4"/>
      <c r="L4" s="10" t="s">
        <v>126</v>
      </c>
      <c r="M4" s="5"/>
      <c r="N4" s="5"/>
      <c r="O4" s="5"/>
      <c r="P4" s="5"/>
      <c r="Q4" s="5"/>
      <c r="R4" s="5"/>
      <c r="S4" s="6"/>
    </row>
    <row r="5" spans="1:19" x14ac:dyDescent="0.25">
      <c r="A5" s="17" t="s">
        <v>10</v>
      </c>
      <c r="B5" s="18">
        <v>8943.7999999999993</v>
      </c>
      <c r="C5" s="18">
        <v>8943.7999999999993</v>
      </c>
      <c r="D5" s="18">
        <v>0</v>
      </c>
      <c r="E5" s="18">
        <v>25.68</v>
      </c>
      <c r="F5" s="18">
        <v>43485</v>
      </c>
      <c r="G5" s="19">
        <v>1</v>
      </c>
      <c r="K5" s="4"/>
      <c r="L5" s="5"/>
      <c r="M5" s="5"/>
      <c r="N5" s="5"/>
      <c r="O5" s="5"/>
      <c r="P5" s="5"/>
      <c r="Q5" s="5"/>
      <c r="R5" s="5"/>
      <c r="S5" s="6"/>
    </row>
    <row r="6" spans="1:19" x14ac:dyDescent="0.25">
      <c r="A6" s="17" t="s">
        <v>11</v>
      </c>
      <c r="B6" s="18">
        <v>9717</v>
      </c>
      <c r="C6" s="18">
        <v>9717</v>
      </c>
      <c r="D6" s="18">
        <v>0</v>
      </c>
      <c r="E6" s="18">
        <v>97.01</v>
      </c>
      <c r="F6" s="18">
        <v>157584</v>
      </c>
      <c r="G6" s="19">
        <v>1</v>
      </c>
      <c r="K6" s="4"/>
      <c r="L6" s="5" t="s">
        <v>116</v>
      </c>
      <c r="M6" s="5"/>
      <c r="N6" s="5"/>
      <c r="O6" s="5"/>
      <c r="P6" s="5"/>
      <c r="Q6" s="5"/>
      <c r="R6" s="5"/>
      <c r="S6" s="6"/>
    </row>
    <row r="7" spans="1:19" x14ac:dyDescent="0.25">
      <c r="A7" s="17" t="s">
        <v>12</v>
      </c>
      <c r="B7" s="18">
        <v>9962.5</v>
      </c>
      <c r="C7" s="18">
        <v>9961.6200000000008</v>
      </c>
      <c r="D7" s="18">
        <v>1E-4</v>
      </c>
      <c r="E7" s="18">
        <v>280.12</v>
      </c>
      <c r="F7" s="18">
        <v>535289</v>
      </c>
      <c r="G7" s="19">
        <v>1</v>
      </c>
      <c r="K7" s="4"/>
      <c r="L7" s="5" t="s">
        <v>117</v>
      </c>
      <c r="M7" s="5"/>
      <c r="N7" s="5"/>
      <c r="O7" s="5"/>
      <c r="P7" s="5"/>
      <c r="Q7" s="5"/>
      <c r="R7" s="5"/>
      <c r="S7" s="6"/>
    </row>
    <row r="8" spans="1:19" x14ac:dyDescent="0.25">
      <c r="A8" s="17" t="s">
        <v>13</v>
      </c>
      <c r="B8" s="18">
        <v>9598</v>
      </c>
      <c r="C8" s="18">
        <v>9598</v>
      </c>
      <c r="D8" s="18">
        <v>0</v>
      </c>
      <c r="E8" s="18">
        <v>32.409999999999997</v>
      </c>
      <c r="F8" s="18">
        <v>50258</v>
      </c>
      <c r="G8" s="19">
        <v>1</v>
      </c>
      <c r="K8" s="4"/>
      <c r="L8" s="5" t="s">
        <v>118</v>
      </c>
      <c r="M8" s="5"/>
      <c r="N8" s="5"/>
      <c r="O8" s="5"/>
      <c r="P8" s="5"/>
      <c r="Q8" s="5"/>
      <c r="R8" s="5"/>
      <c r="S8" s="6"/>
    </row>
    <row r="9" spans="1:19" x14ac:dyDescent="0.25">
      <c r="A9" s="17" t="s">
        <v>14</v>
      </c>
      <c r="B9" s="18">
        <v>9803.5</v>
      </c>
      <c r="C9" s="18">
        <v>9803.5</v>
      </c>
      <c r="D9" s="18">
        <v>0</v>
      </c>
      <c r="E9" s="18">
        <v>56.73</v>
      </c>
      <c r="F9" s="18">
        <v>72796</v>
      </c>
      <c r="G9" s="19">
        <v>1</v>
      </c>
      <c r="K9" s="4"/>
      <c r="L9" s="5" t="s">
        <v>119</v>
      </c>
      <c r="M9" s="5"/>
      <c r="N9" s="5"/>
      <c r="O9" s="5"/>
      <c r="P9" s="5"/>
      <c r="Q9" s="5"/>
      <c r="R9" s="5"/>
      <c r="S9" s="6"/>
    </row>
    <row r="10" spans="1:19" x14ac:dyDescent="0.25">
      <c r="A10" s="17" t="s">
        <v>15</v>
      </c>
      <c r="B10" s="18">
        <v>10266.200000000001</v>
      </c>
      <c r="C10" s="18">
        <v>10266.200000000001</v>
      </c>
      <c r="D10" s="18">
        <v>0</v>
      </c>
      <c r="E10" s="18">
        <v>18.739999999999998</v>
      </c>
      <c r="F10" s="18">
        <v>27155</v>
      </c>
      <c r="G10" s="19">
        <v>1</v>
      </c>
      <c r="H10" s="20"/>
      <c r="K10" s="4"/>
      <c r="L10" s="5" t="s">
        <v>120</v>
      </c>
      <c r="M10" s="5"/>
      <c r="N10" s="5"/>
      <c r="O10" s="5"/>
      <c r="P10" s="5"/>
      <c r="Q10" s="5"/>
      <c r="R10" s="5"/>
      <c r="S10" s="6"/>
    </row>
    <row r="11" spans="1:19" x14ac:dyDescent="0.25">
      <c r="A11" s="17" t="s">
        <v>16</v>
      </c>
      <c r="B11" s="18">
        <v>10812.8</v>
      </c>
      <c r="C11" s="18">
        <v>10638.39</v>
      </c>
      <c r="D11" s="18">
        <v>1.61E-2</v>
      </c>
      <c r="E11" s="18">
        <v>300</v>
      </c>
      <c r="F11" s="18">
        <v>422736</v>
      </c>
      <c r="G11" s="19">
        <v>0</v>
      </c>
      <c r="K11" s="4"/>
      <c r="L11" s="5" t="s">
        <v>121</v>
      </c>
      <c r="M11" s="5"/>
      <c r="N11" s="5"/>
      <c r="O11" s="5"/>
      <c r="P11" s="5"/>
      <c r="Q11" s="5"/>
      <c r="R11" s="5"/>
      <c r="S11" s="6"/>
    </row>
    <row r="12" spans="1:19" x14ac:dyDescent="0.25">
      <c r="A12" s="17" t="s">
        <v>17</v>
      </c>
      <c r="B12" s="18">
        <v>10290.799999999999</v>
      </c>
      <c r="C12" s="18">
        <v>10290.799999999999</v>
      </c>
      <c r="D12" s="18">
        <v>0</v>
      </c>
      <c r="E12" s="18">
        <v>24.44</v>
      </c>
      <c r="F12" s="18">
        <v>34986</v>
      </c>
      <c r="G12" s="19">
        <v>1</v>
      </c>
      <c r="K12" s="4"/>
      <c r="L12" s="5" t="s">
        <v>118</v>
      </c>
      <c r="M12" s="5"/>
      <c r="N12" s="5"/>
      <c r="O12" s="5"/>
      <c r="P12" s="5"/>
      <c r="Q12" s="5"/>
      <c r="R12" s="5"/>
      <c r="S12" s="6"/>
    </row>
    <row r="13" spans="1:19" ht="15.75" thickBot="1" x14ac:dyDescent="0.3">
      <c r="A13" s="17" t="s">
        <v>18</v>
      </c>
      <c r="B13" s="18">
        <v>10745.6</v>
      </c>
      <c r="C13" s="18">
        <v>10744.79</v>
      </c>
      <c r="D13" s="18">
        <v>1E-4</v>
      </c>
      <c r="E13" s="18">
        <v>373.34</v>
      </c>
      <c r="F13" s="18">
        <v>596846</v>
      </c>
      <c r="G13" s="19">
        <v>1</v>
      </c>
      <c r="K13" s="4"/>
      <c r="L13" s="5" t="s">
        <v>119</v>
      </c>
      <c r="M13" s="5"/>
      <c r="N13" s="5"/>
      <c r="O13" s="5"/>
      <c r="P13" s="5"/>
      <c r="Q13" s="5"/>
      <c r="R13" s="5"/>
      <c r="S13" s="6"/>
    </row>
    <row r="14" spans="1:19" x14ac:dyDescent="0.25">
      <c r="A14" s="21" t="s">
        <v>19</v>
      </c>
      <c r="B14" s="22">
        <v>13194.8</v>
      </c>
      <c r="C14" s="22">
        <v>13194.8</v>
      </c>
      <c r="D14" s="22">
        <v>0</v>
      </c>
      <c r="E14" s="22">
        <v>99.41</v>
      </c>
      <c r="F14" s="22">
        <v>135442</v>
      </c>
      <c r="G14" s="23">
        <v>1</v>
      </c>
      <c r="K14" s="4"/>
      <c r="L14" s="5" t="s">
        <v>120</v>
      </c>
      <c r="M14" s="5"/>
      <c r="N14" s="5"/>
      <c r="O14" s="5"/>
      <c r="P14" s="5"/>
      <c r="Q14" s="5"/>
      <c r="R14" s="5"/>
      <c r="S14" s="6"/>
    </row>
    <row r="15" spans="1:19" x14ac:dyDescent="0.25">
      <c r="A15" s="24" t="s">
        <v>20</v>
      </c>
      <c r="B15" s="25">
        <v>12131.4</v>
      </c>
      <c r="C15" s="25">
        <v>12131.4</v>
      </c>
      <c r="D15" s="25">
        <v>0</v>
      </c>
      <c r="E15" s="25">
        <v>29.97</v>
      </c>
      <c r="F15" s="25">
        <v>53815</v>
      </c>
      <c r="G15" s="26">
        <v>1</v>
      </c>
      <c r="K15" s="4"/>
      <c r="L15" s="5" t="s">
        <v>122</v>
      </c>
      <c r="M15" s="5"/>
      <c r="N15" s="5"/>
      <c r="O15" s="5"/>
      <c r="P15" s="5"/>
      <c r="Q15" s="5"/>
      <c r="R15" s="5"/>
      <c r="S15" s="6"/>
    </row>
    <row r="16" spans="1:19" x14ac:dyDescent="0.25">
      <c r="A16" s="24" t="s">
        <v>21</v>
      </c>
      <c r="B16" s="25">
        <v>13018.4</v>
      </c>
      <c r="C16" s="25">
        <v>13018.4</v>
      </c>
      <c r="D16" s="25">
        <v>0</v>
      </c>
      <c r="E16" s="25">
        <v>27.32</v>
      </c>
      <c r="F16" s="25">
        <v>40369</v>
      </c>
      <c r="G16" s="26">
        <v>1</v>
      </c>
      <c r="K16" s="4"/>
      <c r="L16" s="5" t="s">
        <v>123</v>
      </c>
      <c r="M16" s="5"/>
      <c r="N16" s="5"/>
      <c r="O16" s="5"/>
      <c r="P16" s="5"/>
      <c r="Q16" s="5"/>
      <c r="R16" s="5"/>
      <c r="S16" s="6"/>
    </row>
    <row r="17" spans="1:32" x14ac:dyDescent="0.25">
      <c r="A17" s="24" t="s">
        <v>22</v>
      </c>
      <c r="B17" s="25">
        <v>11848.6</v>
      </c>
      <c r="C17" s="25">
        <v>11848.6</v>
      </c>
      <c r="D17" s="25">
        <v>0</v>
      </c>
      <c r="E17" s="25">
        <v>16.41</v>
      </c>
      <c r="F17" s="25">
        <v>22071</v>
      </c>
      <c r="G17" s="26">
        <v>1</v>
      </c>
      <c r="K17" s="4"/>
      <c r="L17" s="5" t="s">
        <v>124</v>
      </c>
      <c r="M17" s="5"/>
      <c r="N17" s="5"/>
      <c r="O17" s="5"/>
      <c r="P17" s="5"/>
      <c r="Q17" s="5"/>
      <c r="R17" s="5"/>
      <c r="S17" s="6"/>
    </row>
    <row r="18" spans="1:32" x14ac:dyDescent="0.25">
      <c r="A18" s="24" t="s">
        <v>23</v>
      </c>
      <c r="B18" s="25">
        <v>14236.5</v>
      </c>
      <c r="C18" s="25">
        <v>14236.33</v>
      </c>
      <c r="D18" s="25">
        <v>0</v>
      </c>
      <c r="E18" s="25">
        <v>403.6</v>
      </c>
      <c r="F18" s="25">
        <v>648618</v>
      </c>
      <c r="G18" s="26">
        <v>1</v>
      </c>
      <c r="K18" s="4"/>
      <c r="L18" s="5" t="s">
        <v>125</v>
      </c>
      <c r="M18" s="5"/>
      <c r="N18" s="5"/>
      <c r="O18" s="5"/>
      <c r="P18" s="5"/>
      <c r="Q18" s="5"/>
      <c r="R18" s="5"/>
      <c r="S18" s="6"/>
    </row>
    <row r="19" spans="1:32" x14ac:dyDescent="0.25">
      <c r="A19" s="24" t="s">
        <v>24</v>
      </c>
      <c r="B19" s="25">
        <v>13151</v>
      </c>
      <c r="C19" s="25">
        <v>13151</v>
      </c>
      <c r="D19" s="25">
        <v>0</v>
      </c>
      <c r="E19" s="25">
        <v>226.45</v>
      </c>
      <c r="F19" s="25">
        <v>339946</v>
      </c>
      <c r="G19" s="26">
        <v>1</v>
      </c>
      <c r="K19" s="4"/>
      <c r="L19" s="5"/>
      <c r="M19" s="5"/>
      <c r="N19" s="5"/>
      <c r="O19" s="5"/>
      <c r="P19" s="5"/>
      <c r="Q19" s="5"/>
      <c r="R19" s="5"/>
      <c r="S19" s="6"/>
    </row>
    <row r="20" spans="1:32" x14ac:dyDescent="0.25">
      <c r="A20" s="24" t="s">
        <v>25</v>
      </c>
      <c r="B20" s="25">
        <v>13902</v>
      </c>
      <c r="C20" s="25">
        <v>13902</v>
      </c>
      <c r="D20" s="25">
        <v>0</v>
      </c>
      <c r="E20" s="25">
        <v>67.89</v>
      </c>
      <c r="F20" s="25">
        <v>87291</v>
      </c>
      <c r="G20" s="26">
        <v>1</v>
      </c>
      <c r="K20" s="4"/>
      <c r="L20" s="5"/>
      <c r="M20" s="5"/>
      <c r="N20" s="5"/>
      <c r="O20" s="5"/>
      <c r="P20" s="5"/>
      <c r="Q20" s="5"/>
      <c r="R20" s="5"/>
      <c r="S20" s="6"/>
    </row>
    <row r="21" spans="1:32" x14ac:dyDescent="0.25">
      <c r="A21" s="24" t="s">
        <v>26</v>
      </c>
      <c r="B21" s="25">
        <v>13495.5</v>
      </c>
      <c r="C21" s="25">
        <v>13495.5</v>
      </c>
      <c r="D21" s="25">
        <v>0</v>
      </c>
      <c r="E21" s="25">
        <v>102.61</v>
      </c>
      <c r="F21" s="25">
        <v>146373</v>
      </c>
      <c r="G21" s="26">
        <v>1</v>
      </c>
      <c r="K21" s="4"/>
      <c r="L21" s="5"/>
      <c r="M21" s="5"/>
      <c r="N21" s="5"/>
      <c r="O21" s="5"/>
      <c r="P21" s="5"/>
      <c r="Q21" s="5"/>
      <c r="R21" s="5"/>
      <c r="S21" s="6"/>
    </row>
    <row r="22" spans="1:32" x14ac:dyDescent="0.25">
      <c r="A22" s="24" t="s">
        <v>27</v>
      </c>
      <c r="B22" s="25">
        <v>14842.4</v>
      </c>
      <c r="C22" s="25">
        <v>14842.4</v>
      </c>
      <c r="D22" s="25">
        <v>0</v>
      </c>
      <c r="E22" s="25">
        <v>78.680000000000007</v>
      </c>
      <c r="F22" s="25">
        <v>130844</v>
      </c>
      <c r="G22" s="26">
        <v>1</v>
      </c>
      <c r="K22" s="4"/>
      <c r="L22" s="5"/>
      <c r="M22" s="5"/>
      <c r="N22" s="5"/>
      <c r="O22" s="5"/>
      <c r="P22" s="5"/>
      <c r="Q22" s="5"/>
      <c r="R22" s="5"/>
      <c r="S22" s="6"/>
    </row>
    <row r="23" spans="1:32" x14ac:dyDescent="0.25">
      <c r="A23" s="24" t="s">
        <v>28</v>
      </c>
      <c r="B23" s="25">
        <v>14122.2</v>
      </c>
      <c r="C23" s="25">
        <v>14122.2</v>
      </c>
      <c r="D23" s="25">
        <v>0</v>
      </c>
      <c r="E23" s="25">
        <v>151.49</v>
      </c>
      <c r="F23" s="25">
        <v>221624</v>
      </c>
      <c r="G23" s="26">
        <v>1</v>
      </c>
      <c r="K23" s="7"/>
      <c r="L23" s="8"/>
      <c r="M23" s="8"/>
      <c r="N23" s="8"/>
      <c r="O23" s="8"/>
      <c r="P23" s="8"/>
      <c r="Q23" s="8"/>
      <c r="R23" s="8"/>
      <c r="S23" s="9"/>
    </row>
    <row r="24" spans="1:32" x14ac:dyDescent="0.25">
      <c r="A24" s="24" t="s">
        <v>29</v>
      </c>
      <c r="B24" s="25">
        <v>14561.2</v>
      </c>
      <c r="C24" s="25">
        <v>14561.2</v>
      </c>
      <c r="D24" s="25">
        <v>0</v>
      </c>
      <c r="E24" s="25">
        <v>254.83</v>
      </c>
      <c r="F24" s="25">
        <v>381585</v>
      </c>
      <c r="G24" s="26">
        <v>1</v>
      </c>
      <c r="K24" s="11"/>
      <c r="L24" s="11"/>
      <c r="M24" s="11"/>
      <c r="N24" s="11"/>
      <c r="O24" s="11"/>
      <c r="P24" s="11"/>
      <c r="Q24" s="11"/>
      <c r="R24" s="11"/>
      <c r="S24" s="11"/>
    </row>
    <row r="25" spans="1:32" ht="15.75" thickBot="1" x14ac:dyDescent="0.3">
      <c r="A25" s="27" t="s">
        <v>30</v>
      </c>
      <c r="B25" s="28">
        <v>13866</v>
      </c>
      <c r="C25" s="28">
        <v>13866</v>
      </c>
      <c r="D25" s="28">
        <v>0</v>
      </c>
      <c r="E25" s="28">
        <v>153.63999999999999</v>
      </c>
      <c r="F25" s="28">
        <v>217544</v>
      </c>
      <c r="G25" s="29">
        <v>1</v>
      </c>
      <c r="K25" s="11"/>
      <c r="L25" s="11"/>
      <c r="M25" s="11"/>
      <c r="N25" s="11"/>
      <c r="O25" s="11"/>
      <c r="P25" s="11"/>
      <c r="Q25" s="11"/>
      <c r="R25" s="11"/>
      <c r="S25" s="11"/>
    </row>
    <row r="26" spans="1:32" ht="15.75" thickBot="1" x14ac:dyDescent="0.3">
      <c r="A26" s="30" t="s">
        <v>31</v>
      </c>
      <c r="B26" s="31">
        <v>25657.200000000001</v>
      </c>
      <c r="C26" s="31">
        <v>25657.200000000001</v>
      </c>
      <c r="D26" s="31">
        <v>0</v>
      </c>
      <c r="E26" s="31">
        <v>12.9</v>
      </c>
      <c r="F26" s="31">
        <v>9706</v>
      </c>
      <c r="G26" s="32">
        <v>1</v>
      </c>
      <c r="J26" s="182" t="s">
        <v>0</v>
      </c>
      <c r="K26" s="182" t="s">
        <v>1</v>
      </c>
      <c r="L26" s="182" t="s">
        <v>2</v>
      </c>
      <c r="M26" s="182" t="s">
        <v>3</v>
      </c>
      <c r="N26" s="182" t="s">
        <v>4</v>
      </c>
      <c r="O26" s="182" t="s">
        <v>5</v>
      </c>
      <c r="P26" s="182" t="s">
        <v>6</v>
      </c>
      <c r="Q26" s="11"/>
      <c r="R26" s="182" t="s">
        <v>0</v>
      </c>
      <c r="S26" s="182" t="s">
        <v>1</v>
      </c>
      <c r="T26" s="182" t="s">
        <v>2</v>
      </c>
      <c r="U26" s="182" t="s">
        <v>3</v>
      </c>
      <c r="V26" s="182" t="s">
        <v>4</v>
      </c>
      <c r="W26" s="182" t="s">
        <v>5</v>
      </c>
      <c r="X26" s="182" t="s">
        <v>6</v>
      </c>
      <c r="Z26" s="182" t="s">
        <v>0</v>
      </c>
      <c r="AA26" s="182" t="s">
        <v>1</v>
      </c>
      <c r="AB26" s="182" t="s">
        <v>2</v>
      </c>
      <c r="AC26" s="182" t="s">
        <v>3</v>
      </c>
      <c r="AD26" s="182" t="s">
        <v>4</v>
      </c>
      <c r="AE26" s="182" t="s">
        <v>5</v>
      </c>
      <c r="AF26" s="182" t="s">
        <v>6</v>
      </c>
    </row>
    <row r="27" spans="1:32" x14ac:dyDescent="0.25">
      <c r="A27" s="33" t="s">
        <v>32</v>
      </c>
      <c r="B27" s="34">
        <v>21247.4</v>
      </c>
      <c r="C27" s="34">
        <v>21246.28</v>
      </c>
      <c r="D27" s="34">
        <v>1E-4</v>
      </c>
      <c r="E27" s="34">
        <v>12.31</v>
      </c>
      <c r="F27" s="34">
        <v>11438</v>
      </c>
      <c r="G27" s="35">
        <v>1</v>
      </c>
      <c r="J27" s="90" t="s">
        <v>7</v>
      </c>
      <c r="K27" s="91">
        <v>8698.7999999999993</v>
      </c>
      <c r="L27" s="91">
        <v>8698.7999999999993</v>
      </c>
      <c r="M27" s="91">
        <v>0</v>
      </c>
      <c r="N27" s="91">
        <v>11.86</v>
      </c>
      <c r="O27" s="91">
        <v>15677</v>
      </c>
      <c r="P27" s="92">
        <v>1</v>
      </c>
      <c r="Q27" s="11"/>
      <c r="R27" s="96" t="s">
        <v>19</v>
      </c>
      <c r="S27" s="97">
        <v>13194.8</v>
      </c>
      <c r="T27" s="97">
        <v>13194.8</v>
      </c>
      <c r="U27" s="97">
        <v>0</v>
      </c>
      <c r="V27" s="97">
        <v>99.41</v>
      </c>
      <c r="W27" s="97">
        <v>135442</v>
      </c>
      <c r="X27" s="98">
        <v>1</v>
      </c>
      <c r="Z27" s="102" t="s">
        <v>31</v>
      </c>
      <c r="AA27" s="103">
        <v>25657.200000000001</v>
      </c>
      <c r="AB27" s="103">
        <v>25657.200000000001</v>
      </c>
      <c r="AC27" s="103">
        <v>0</v>
      </c>
      <c r="AD27" s="103">
        <v>12.9</v>
      </c>
      <c r="AE27" s="103">
        <v>9706</v>
      </c>
      <c r="AF27" s="104">
        <v>1</v>
      </c>
    </row>
    <row r="28" spans="1:32" x14ac:dyDescent="0.25">
      <c r="A28" s="33" t="s">
        <v>33</v>
      </c>
      <c r="B28" s="34">
        <v>24364.400000000001</v>
      </c>
      <c r="C28" s="34">
        <v>24364.400000000001</v>
      </c>
      <c r="D28" s="34">
        <v>0</v>
      </c>
      <c r="E28" s="34">
        <v>8.4600000000000009</v>
      </c>
      <c r="F28" s="34">
        <v>3476</v>
      </c>
      <c r="G28" s="35">
        <v>1</v>
      </c>
      <c r="J28" s="93" t="s">
        <v>8</v>
      </c>
      <c r="K28" s="94">
        <v>8781.7999999999993</v>
      </c>
      <c r="L28" s="94">
        <v>8781.7999999999993</v>
      </c>
      <c r="M28" s="94">
        <v>0</v>
      </c>
      <c r="N28" s="94">
        <v>53.23</v>
      </c>
      <c r="O28" s="94">
        <v>100081</v>
      </c>
      <c r="P28" s="95">
        <v>1</v>
      </c>
      <c r="Q28" s="11"/>
      <c r="R28" s="99" t="s">
        <v>20</v>
      </c>
      <c r="S28" s="100">
        <v>12131.4</v>
      </c>
      <c r="T28" s="100">
        <v>12131.4</v>
      </c>
      <c r="U28" s="100">
        <v>0</v>
      </c>
      <c r="V28" s="100">
        <v>29.97</v>
      </c>
      <c r="W28" s="100">
        <v>53815</v>
      </c>
      <c r="X28" s="101">
        <v>1</v>
      </c>
      <c r="Z28" s="105" t="s">
        <v>32</v>
      </c>
      <c r="AA28" s="106">
        <v>21247.4</v>
      </c>
      <c r="AB28" s="106">
        <v>21246.28</v>
      </c>
      <c r="AC28" s="106">
        <v>1E-4</v>
      </c>
      <c r="AD28" s="106">
        <v>12.31</v>
      </c>
      <c r="AE28" s="106">
        <v>11438</v>
      </c>
      <c r="AF28" s="107">
        <v>1</v>
      </c>
    </row>
    <row r="29" spans="1:32" x14ac:dyDescent="0.25">
      <c r="A29" s="33" t="s">
        <v>34</v>
      </c>
      <c r="B29" s="34">
        <v>20329</v>
      </c>
      <c r="C29" s="34">
        <v>20329</v>
      </c>
      <c r="D29" s="34">
        <v>0</v>
      </c>
      <c r="E29" s="34">
        <v>12.38</v>
      </c>
      <c r="F29" s="34">
        <v>11511</v>
      </c>
      <c r="G29" s="35">
        <v>1</v>
      </c>
      <c r="J29" s="93" t="s">
        <v>9</v>
      </c>
      <c r="K29" s="94">
        <v>8541.6</v>
      </c>
      <c r="L29" s="94">
        <v>8541.6</v>
      </c>
      <c r="M29" s="94">
        <v>0</v>
      </c>
      <c r="N29" s="94">
        <v>7.66</v>
      </c>
      <c r="O29" s="94">
        <v>8037</v>
      </c>
      <c r="P29" s="95">
        <v>1</v>
      </c>
      <c r="Q29" s="11"/>
      <c r="R29" s="99" t="s">
        <v>21</v>
      </c>
      <c r="S29" s="100">
        <v>13018.4</v>
      </c>
      <c r="T29" s="100">
        <v>13018.4</v>
      </c>
      <c r="U29" s="100">
        <v>0</v>
      </c>
      <c r="V29" s="100">
        <v>27.32</v>
      </c>
      <c r="W29" s="100">
        <v>40369</v>
      </c>
      <c r="X29" s="101">
        <v>1</v>
      </c>
      <c r="Z29" s="105" t="s">
        <v>33</v>
      </c>
      <c r="AA29" s="106">
        <v>24364.400000000001</v>
      </c>
      <c r="AB29" s="106">
        <v>24364.400000000001</v>
      </c>
      <c r="AC29" s="106">
        <v>0</v>
      </c>
      <c r="AD29" s="106">
        <v>8.4600000000000009</v>
      </c>
      <c r="AE29" s="106">
        <v>3476</v>
      </c>
      <c r="AF29" s="107">
        <v>1</v>
      </c>
    </row>
    <row r="30" spans="1:32" x14ac:dyDescent="0.25">
      <c r="A30" s="33" t="s">
        <v>35</v>
      </c>
      <c r="B30" s="34">
        <v>26561</v>
      </c>
      <c r="C30" s="34">
        <v>26561</v>
      </c>
      <c r="D30" s="34">
        <v>0</v>
      </c>
      <c r="E30" s="34">
        <v>20.95</v>
      </c>
      <c r="F30" s="34">
        <v>31647</v>
      </c>
      <c r="G30" s="35">
        <v>1</v>
      </c>
      <c r="J30" s="93" t="s">
        <v>10</v>
      </c>
      <c r="K30" s="94">
        <v>8943.7999999999993</v>
      </c>
      <c r="L30" s="94">
        <v>8943.7999999999993</v>
      </c>
      <c r="M30" s="94">
        <v>0</v>
      </c>
      <c r="N30" s="94">
        <v>25.68</v>
      </c>
      <c r="O30" s="94">
        <v>43485</v>
      </c>
      <c r="P30" s="95">
        <v>1</v>
      </c>
      <c r="Q30" s="11"/>
      <c r="R30" s="99" t="s">
        <v>22</v>
      </c>
      <c r="S30" s="100">
        <v>11848.6</v>
      </c>
      <c r="T30" s="100">
        <v>11848.6</v>
      </c>
      <c r="U30" s="100">
        <v>0</v>
      </c>
      <c r="V30" s="100">
        <v>16.41</v>
      </c>
      <c r="W30" s="100">
        <v>22071</v>
      </c>
      <c r="X30" s="101">
        <v>1</v>
      </c>
      <c r="Z30" s="105" t="s">
        <v>34</v>
      </c>
      <c r="AA30" s="106">
        <v>20329</v>
      </c>
      <c r="AB30" s="106">
        <v>20329</v>
      </c>
      <c r="AC30" s="106">
        <v>0</v>
      </c>
      <c r="AD30" s="106">
        <v>12.38</v>
      </c>
      <c r="AE30" s="106">
        <v>11511</v>
      </c>
      <c r="AF30" s="107">
        <v>1</v>
      </c>
    </row>
    <row r="31" spans="1:32" x14ac:dyDescent="0.25">
      <c r="A31" s="33" t="s">
        <v>36</v>
      </c>
      <c r="B31" s="34">
        <v>22332.5</v>
      </c>
      <c r="C31" s="34">
        <v>22332.5</v>
      </c>
      <c r="D31" s="34">
        <v>0</v>
      </c>
      <c r="E31" s="34">
        <v>38.799999999999997</v>
      </c>
      <c r="F31" s="34">
        <v>58930</v>
      </c>
      <c r="G31" s="35">
        <v>1</v>
      </c>
      <c r="J31" s="93" t="s">
        <v>11</v>
      </c>
      <c r="K31" s="94">
        <v>9717</v>
      </c>
      <c r="L31" s="94">
        <v>9717</v>
      </c>
      <c r="M31" s="94">
        <v>0</v>
      </c>
      <c r="N31" s="94">
        <v>97.01</v>
      </c>
      <c r="O31" s="94">
        <v>157584</v>
      </c>
      <c r="P31" s="95">
        <v>1</v>
      </c>
      <c r="Q31" s="11"/>
      <c r="R31" s="99" t="s">
        <v>23</v>
      </c>
      <c r="S31" s="100">
        <v>14236.5</v>
      </c>
      <c r="T31" s="100">
        <v>14236.33</v>
      </c>
      <c r="U31" s="100">
        <v>0</v>
      </c>
      <c r="V31" s="100">
        <v>403.6</v>
      </c>
      <c r="W31" s="100">
        <v>648618</v>
      </c>
      <c r="X31" s="101">
        <v>1</v>
      </c>
      <c r="Z31" s="105" t="s">
        <v>35</v>
      </c>
      <c r="AA31" s="106">
        <v>26561</v>
      </c>
      <c r="AB31" s="106">
        <v>26561</v>
      </c>
      <c r="AC31" s="106">
        <v>0</v>
      </c>
      <c r="AD31" s="106">
        <v>20.95</v>
      </c>
      <c r="AE31" s="106">
        <v>31647</v>
      </c>
      <c r="AF31" s="107">
        <v>1</v>
      </c>
    </row>
    <row r="32" spans="1:32" x14ac:dyDescent="0.25">
      <c r="A32" s="33" t="s">
        <v>37</v>
      </c>
      <c r="B32" s="34">
        <v>26625.5</v>
      </c>
      <c r="C32" s="34">
        <v>26625.5</v>
      </c>
      <c r="D32" s="34">
        <v>0</v>
      </c>
      <c r="E32" s="34">
        <v>19.239999999999998</v>
      </c>
      <c r="F32" s="34">
        <v>18933</v>
      </c>
      <c r="G32" s="35">
        <v>1</v>
      </c>
      <c r="J32" s="93" t="s">
        <v>12</v>
      </c>
      <c r="K32" s="94">
        <v>9962.5</v>
      </c>
      <c r="L32" s="94">
        <v>9961.6200000000008</v>
      </c>
      <c r="M32" s="94">
        <v>1E-4</v>
      </c>
      <c r="N32" s="94">
        <v>280.12</v>
      </c>
      <c r="O32" s="94">
        <v>535289</v>
      </c>
      <c r="P32" s="95">
        <v>1</v>
      </c>
      <c r="Q32" s="11"/>
      <c r="R32" s="99" t="s">
        <v>24</v>
      </c>
      <c r="S32" s="100">
        <v>13151</v>
      </c>
      <c r="T32" s="100">
        <v>13151</v>
      </c>
      <c r="U32" s="100">
        <v>0</v>
      </c>
      <c r="V32" s="100">
        <v>226.45</v>
      </c>
      <c r="W32" s="100">
        <v>339946</v>
      </c>
      <c r="X32" s="101">
        <v>1</v>
      </c>
      <c r="Z32" s="105" t="s">
        <v>36</v>
      </c>
      <c r="AA32" s="106">
        <v>22332.5</v>
      </c>
      <c r="AB32" s="106">
        <v>22332.5</v>
      </c>
      <c r="AC32" s="106">
        <v>0</v>
      </c>
      <c r="AD32" s="106">
        <v>38.799999999999997</v>
      </c>
      <c r="AE32" s="106">
        <v>58930</v>
      </c>
      <c r="AF32" s="107">
        <v>1</v>
      </c>
    </row>
    <row r="33" spans="1:32" x14ac:dyDescent="0.25">
      <c r="A33" s="33" t="s">
        <v>38</v>
      </c>
      <c r="B33" s="34">
        <v>23229.5</v>
      </c>
      <c r="C33" s="34">
        <v>23229.5</v>
      </c>
      <c r="D33" s="34">
        <v>0</v>
      </c>
      <c r="E33" s="34">
        <v>18.25</v>
      </c>
      <c r="F33" s="34">
        <v>20796</v>
      </c>
      <c r="G33" s="35">
        <v>1</v>
      </c>
      <c r="J33" s="93" t="s">
        <v>13</v>
      </c>
      <c r="K33" s="94">
        <v>9598</v>
      </c>
      <c r="L33" s="94">
        <v>9598</v>
      </c>
      <c r="M33" s="94">
        <v>0</v>
      </c>
      <c r="N33" s="94">
        <v>32.409999999999997</v>
      </c>
      <c r="O33" s="94">
        <v>50258</v>
      </c>
      <c r="P33" s="95">
        <v>1</v>
      </c>
      <c r="Q33" s="11"/>
      <c r="R33" s="99" t="s">
        <v>25</v>
      </c>
      <c r="S33" s="100">
        <v>13902</v>
      </c>
      <c r="T33" s="100">
        <v>13902</v>
      </c>
      <c r="U33" s="100">
        <v>0</v>
      </c>
      <c r="V33" s="100">
        <v>67.89</v>
      </c>
      <c r="W33" s="100">
        <v>87291</v>
      </c>
      <c r="X33" s="101">
        <v>1</v>
      </c>
      <c r="Z33" s="105" t="s">
        <v>37</v>
      </c>
      <c r="AA33" s="106">
        <v>26625.5</v>
      </c>
      <c r="AB33" s="106">
        <v>26625.5</v>
      </c>
      <c r="AC33" s="106">
        <v>0</v>
      </c>
      <c r="AD33" s="106">
        <v>19.239999999999998</v>
      </c>
      <c r="AE33" s="106">
        <v>18933</v>
      </c>
      <c r="AF33" s="107">
        <v>1</v>
      </c>
    </row>
    <row r="34" spans="1:32" x14ac:dyDescent="0.25">
      <c r="A34" s="33" t="s">
        <v>39</v>
      </c>
      <c r="B34" s="34">
        <v>27872.6</v>
      </c>
      <c r="C34" s="34">
        <v>27872.6</v>
      </c>
      <c r="D34" s="34">
        <v>0</v>
      </c>
      <c r="E34" s="34">
        <v>32.46</v>
      </c>
      <c r="F34" s="34">
        <v>46055</v>
      </c>
      <c r="G34" s="35">
        <v>1</v>
      </c>
      <c r="J34" s="93" t="s">
        <v>14</v>
      </c>
      <c r="K34" s="94">
        <v>9803.5</v>
      </c>
      <c r="L34" s="94">
        <v>9803.5</v>
      </c>
      <c r="M34" s="94">
        <v>0</v>
      </c>
      <c r="N34" s="94">
        <v>56.73</v>
      </c>
      <c r="O34" s="94">
        <v>72796</v>
      </c>
      <c r="P34" s="95">
        <v>1</v>
      </c>
      <c r="Q34" s="11"/>
      <c r="R34" s="99" t="s">
        <v>26</v>
      </c>
      <c r="S34" s="100">
        <v>13495.5</v>
      </c>
      <c r="T34" s="100">
        <v>13495.5</v>
      </c>
      <c r="U34" s="100">
        <v>0</v>
      </c>
      <c r="V34" s="100">
        <v>102.61</v>
      </c>
      <c r="W34" s="100">
        <v>146373</v>
      </c>
      <c r="X34" s="101">
        <v>1</v>
      </c>
      <c r="Z34" s="105" t="s">
        <v>38</v>
      </c>
      <c r="AA34" s="106">
        <v>23229.5</v>
      </c>
      <c r="AB34" s="106">
        <v>23229.5</v>
      </c>
      <c r="AC34" s="106">
        <v>0</v>
      </c>
      <c r="AD34" s="106">
        <v>18.25</v>
      </c>
      <c r="AE34" s="106">
        <v>20796</v>
      </c>
      <c r="AF34" s="107">
        <v>1</v>
      </c>
    </row>
    <row r="35" spans="1:32" x14ac:dyDescent="0.25">
      <c r="A35" s="33" t="s">
        <v>40</v>
      </c>
      <c r="B35" s="34">
        <v>24116.799999999999</v>
      </c>
      <c r="C35" s="34">
        <v>24116.799999999999</v>
      </c>
      <c r="D35" s="34">
        <v>0</v>
      </c>
      <c r="E35" s="34">
        <v>37.119999999999997</v>
      </c>
      <c r="F35" s="34">
        <v>52518</v>
      </c>
      <c r="G35" s="35">
        <v>1</v>
      </c>
      <c r="J35" s="93" t="s">
        <v>15</v>
      </c>
      <c r="K35" s="94">
        <v>10266.200000000001</v>
      </c>
      <c r="L35" s="94">
        <v>10266.200000000001</v>
      </c>
      <c r="M35" s="94">
        <v>0</v>
      </c>
      <c r="N35" s="94">
        <v>18.739999999999998</v>
      </c>
      <c r="O35" s="94">
        <v>27155</v>
      </c>
      <c r="P35" s="95">
        <v>1</v>
      </c>
      <c r="Q35" s="11"/>
      <c r="R35" s="99" t="s">
        <v>27</v>
      </c>
      <c r="S35" s="100">
        <v>14842.4</v>
      </c>
      <c r="T35" s="100">
        <v>14842.4</v>
      </c>
      <c r="U35" s="100">
        <v>0</v>
      </c>
      <c r="V35" s="100">
        <v>78.680000000000007</v>
      </c>
      <c r="W35" s="100">
        <v>130844</v>
      </c>
      <c r="X35" s="101">
        <v>1</v>
      </c>
      <c r="Z35" s="105" t="s">
        <v>39</v>
      </c>
      <c r="AA35" s="106">
        <v>27872.6</v>
      </c>
      <c r="AB35" s="106">
        <v>27872.6</v>
      </c>
      <c r="AC35" s="106">
        <v>0</v>
      </c>
      <c r="AD35" s="106">
        <v>32.46</v>
      </c>
      <c r="AE35" s="106">
        <v>46055</v>
      </c>
      <c r="AF35" s="107">
        <v>1</v>
      </c>
    </row>
    <row r="36" spans="1:32" x14ac:dyDescent="0.25">
      <c r="A36" s="33" t="s">
        <v>41</v>
      </c>
      <c r="B36" s="34">
        <v>26762.400000000001</v>
      </c>
      <c r="C36" s="34">
        <v>26762.400000000001</v>
      </c>
      <c r="D36" s="34">
        <v>0</v>
      </c>
      <c r="E36" s="34">
        <v>24.78</v>
      </c>
      <c r="F36" s="34">
        <v>37165</v>
      </c>
      <c r="G36" s="35">
        <v>1</v>
      </c>
      <c r="J36" s="93" t="s">
        <v>16</v>
      </c>
      <c r="K36" s="94">
        <v>10812.8</v>
      </c>
      <c r="L36" s="94">
        <v>10767.53</v>
      </c>
      <c r="M36" s="94">
        <v>4.1999999999999997E-3</v>
      </c>
      <c r="N36" s="94">
        <v>3600</v>
      </c>
      <c r="O36" s="94">
        <v>3955768</v>
      </c>
      <c r="P36" s="95">
        <v>0</v>
      </c>
      <c r="Q36" s="11"/>
      <c r="R36" s="99" t="s">
        <v>28</v>
      </c>
      <c r="S36" s="100">
        <v>14122.2</v>
      </c>
      <c r="T36" s="100">
        <v>14122.2</v>
      </c>
      <c r="U36" s="100">
        <v>0</v>
      </c>
      <c r="V36" s="100">
        <v>151.49</v>
      </c>
      <c r="W36" s="100">
        <v>221624</v>
      </c>
      <c r="X36" s="101">
        <v>1</v>
      </c>
      <c r="Z36" s="105" t="s">
        <v>40</v>
      </c>
      <c r="AA36" s="106">
        <v>24116.799999999999</v>
      </c>
      <c r="AB36" s="106">
        <v>24116.799999999999</v>
      </c>
      <c r="AC36" s="106">
        <v>0</v>
      </c>
      <c r="AD36" s="106">
        <v>37.119999999999997</v>
      </c>
      <c r="AE36" s="106">
        <v>52518</v>
      </c>
      <c r="AF36" s="107">
        <v>1</v>
      </c>
    </row>
    <row r="37" spans="1:32" ht="15.75" thickBot="1" x14ac:dyDescent="0.3">
      <c r="A37" s="33" t="s">
        <v>42</v>
      </c>
      <c r="B37" s="34">
        <v>24065.200000000001</v>
      </c>
      <c r="C37" s="34">
        <v>24065.200000000001</v>
      </c>
      <c r="D37" s="34">
        <v>0</v>
      </c>
      <c r="E37" s="34">
        <v>87.82</v>
      </c>
      <c r="F37" s="34">
        <v>109553</v>
      </c>
      <c r="G37" s="35">
        <v>1</v>
      </c>
      <c r="J37" s="93" t="s">
        <v>17</v>
      </c>
      <c r="K37" s="94">
        <v>10290.799999999999</v>
      </c>
      <c r="L37" s="94">
        <v>10290.799999999999</v>
      </c>
      <c r="M37" s="94">
        <v>0</v>
      </c>
      <c r="N37" s="94">
        <v>24.44</v>
      </c>
      <c r="O37" s="94">
        <v>34986</v>
      </c>
      <c r="P37" s="95">
        <v>1</v>
      </c>
      <c r="Q37" s="11"/>
      <c r="R37" s="99" t="s">
        <v>29</v>
      </c>
      <c r="S37" s="100">
        <v>14561.2</v>
      </c>
      <c r="T37" s="100">
        <v>14561.2</v>
      </c>
      <c r="U37" s="100">
        <v>0</v>
      </c>
      <c r="V37" s="100">
        <v>254.83</v>
      </c>
      <c r="W37" s="100">
        <v>381585</v>
      </c>
      <c r="X37" s="101">
        <v>1</v>
      </c>
      <c r="Z37" s="105" t="s">
        <v>41</v>
      </c>
      <c r="AA37" s="106">
        <v>26762.400000000001</v>
      </c>
      <c r="AB37" s="106">
        <v>26762.400000000001</v>
      </c>
      <c r="AC37" s="106">
        <v>0</v>
      </c>
      <c r="AD37" s="106">
        <v>24.78</v>
      </c>
      <c r="AE37" s="106">
        <v>37165</v>
      </c>
      <c r="AF37" s="107">
        <v>1</v>
      </c>
    </row>
    <row r="38" spans="1:32" ht="15.75" thickBot="1" x14ac:dyDescent="0.3">
      <c r="A38" s="36" t="s">
        <v>43</v>
      </c>
      <c r="B38" s="37">
        <v>10622.2</v>
      </c>
      <c r="C38" s="37">
        <v>10622.2</v>
      </c>
      <c r="D38" s="37">
        <v>0</v>
      </c>
      <c r="E38" s="37">
        <v>0.99</v>
      </c>
      <c r="F38" s="37">
        <v>1208</v>
      </c>
      <c r="G38" s="38">
        <v>1</v>
      </c>
      <c r="J38" s="162" t="s">
        <v>18</v>
      </c>
      <c r="K38" s="163">
        <v>10745.6</v>
      </c>
      <c r="L38" s="163">
        <v>10744.79</v>
      </c>
      <c r="M38" s="163">
        <v>1E-4</v>
      </c>
      <c r="N38" s="163">
        <v>373.34</v>
      </c>
      <c r="O38" s="163">
        <v>596846</v>
      </c>
      <c r="P38" s="164">
        <v>1</v>
      </c>
      <c r="Q38" s="11"/>
      <c r="R38" s="167" t="s">
        <v>30</v>
      </c>
      <c r="S38" s="168">
        <v>13866</v>
      </c>
      <c r="T38" s="168">
        <v>13866</v>
      </c>
      <c r="U38" s="168">
        <v>0</v>
      </c>
      <c r="V38" s="168">
        <v>153.63999999999999</v>
      </c>
      <c r="W38" s="168">
        <v>217544</v>
      </c>
      <c r="X38" s="169">
        <v>1</v>
      </c>
      <c r="Z38" s="173" t="s">
        <v>42</v>
      </c>
      <c r="AA38" s="174">
        <v>24065.200000000001</v>
      </c>
      <c r="AB38" s="174">
        <v>24065.200000000001</v>
      </c>
      <c r="AC38" s="174">
        <v>0</v>
      </c>
      <c r="AD38" s="174">
        <v>87.82</v>
      </c>
      <c r="AE38" s="174">
        <v>109553</v>
      </c>
      <c r="AF38" s="175">
        <v>1</v>
      </c>
    </row>
    <row r="39" spans="1:32" ht="15.75" thickBot="1" x14ac:dyDescent="0.3">
      <c r="A39" s="39" t="s">
        <v>44</v>
      </c>
      <c r="B39" s="40">
        <v>12011</v>
      </c>
      <c r="C39" s="40">
        <v>12011</v>
      </c>
      <c r="D39" s="40">
        <v>0</v>
      </c>
      <c r="E39" s="40">
        <v>8.67</v>
      </c>
      <c r="F39" s="40">
        <v>14709</v>
      </c>
      <c r="G39" s="41">
        <v>1</v>
      </c>
      <c r="J39" s="165" t="s">
        <v>128</v>
      </c>
      <c r="K39" s="166">
        <f>AVERAGE(K27:K38)</f>
        <v>9680.2000000000007</v>
      </c>
      <c r="L39" s="166">
        <f t="shared" ref="L39:O39" si="0">AVERAGE(L27:L38)</f>
        <v>9676.2866666666669</v>
      </c>
      <c r="M39" s="166">
        <f t="shared" si="0"/>
        <v>3.6666666666666667E-4</v>
      </c>
      <c r="N39" s="166">
        <f t="shared" si="0"/>
        <v>381.76833333333337</v>
      </c>
      <c r="O39" s="166">
        <f t="shared" si="0"/>
        <v>466496.83333333331</v>
      </c>
      <c r="P39" s="166">
        <f>SUM(P27:P38)</f>
        <v>11</v>
      </c>
      <c r="Q39" s="11"/>
      <c r="R39" s="170" t="s">
        <v>129</v>
      </c>
      <c r="S39" s="171">
        <f>AVERAGE(S27:S38)</f>
        <v>13530.833333333334</v>
      </c>
      <c r="T39" s="171">
        <f t="shared" ref="T39:W39" si="1">AVERAGE(T27:T38)</f>
        <v>13530.819166666668</v>
      </c>
      <c r="U39" s="171">
        <f t="shared" si="1"/>
        <v>0</v>
      </c>
      <c r="V39" s="171">
        <f t="shared" si="1"/>
        <v>134.35833333333335</v>
      </c>
      <c r="W39" s="171">
        <f t="shared" si="1"/>
        <v>202126.83333333334</v>
      </c>
      <c r="X39" s="172">
        <f>SUM(X27:X38)</f>
        <v>12</v>
      </c>
      <c r="Z39" s="170" t="s">
        <v>130</v>
      </c>
      <c r="AA39" s="171">
        <f>AVERAGE(AA27:AA38)</f>
        <v>24430.291666666668</v>
      </c>
      <c r="AB39" s="171">
        <f t="shared" ref="AB39:AC39" si="2">AVERAGE(AB27:AB38)</f>
        <v>24430.198333333334</v>
      </c>
      <c r="AC39" s="171">
        <f t="shared" si="2"/>
        <v>8.3333333333333337E-6</v>
      </c>
      <c r="AD39" s="171">
        <f>AVERAGE(AD27:AD38)</f>
        <v>27.122500000000002</v>
      </c>
      <c r="AE39" s="171">
        <f t="shared" ref="AE39" si="3">AVERAGE(AE27:AE38)</f>
        <v>34310.666666666664</v>
      </c>
      <c r="AF39" s="172">
        <f>SUM(AF27:AF38)</f>
        <v>12</v>
      </c>
    </row>
    <row r="40" spans="1:32" x14ac:dyDescent="0.25">
      <c r="A40" s="39" t="s">
        <v>45</v>
      </c>
      <c r="B40" s="40">
        <v>10652.2</v>
      </c>
      <c r="C40" s="40">
        <v>10652.2</v>
      </c>
      <c r="D40" s="40">
        <v>0</v>
      </c>
      <c r="E40" s="40">
        <v>2.91</v>
      </c>
      <c r="F40" s="40">
        <v>2954</v>
      </c>
      <c r="G40" s="41">
        <v>1</v>
      </c>
      <c r="K40" s="11"/>
      <c r="L40" s="11"/>
      <c r="M40" s="11"/>
      <c r="N40" s="11"/>
      <c r="O40" s="11"/>
      <c r="P40" s="11"/>
      <c r="Q40" s="11"/>
      <c r="R40" s="11"/>
      <c r="S40" s="11"/>
    </row>
    <row r="41" spans="1:32" x14ac:dyDescent="0.25">
      <c r="A41" s="39" t="s">
        <v>46</v>
      </c>
      <c r="B41" s="40">
        <v>11741.6</v>
      </c>
      <c r="C41" s="40">
        <v>11741.6</v>
      </c>
      <c r="D41" s="40">
        <v>0</v>
      </c>
      <c r="E41" s="40">
        <v>6.36</v>
      </c>
      <c r="F41" s="40">
        <v>10156</v>
      </c>
      <c r="G41" s="41">
        <v>1</v>
      </c>
      <c r="K41" s="11"/>
      <c r="L41" s="11"/>
      <c r="M41" s="11"/>
      <c r="N41" s="11"/>
      <c r="O41" s="11"/>
      <c r="P41" s="11"/>
      <c r="Q41" s="11"/>
      <c r="R41" s="11"/>
      <c r="S41" s="11"/>
    </row>
    <row r="42" spans="1:32" ht="15.75" thickBot="1" x14ac:dyDescent="0.3">
      <c r="A42" s="39" t="s">
        <v>47</v>
      </c>
      <c r="B42" s="40">
        <v>12249.5</v>
      </c>
      <c r="C42" s="40">
        <v>12249.5</v>
      </c>
      <c r="D42" s="40">
        <v>0</v>
      </c>
      <c r="E42" s="40">
        <v>5.45</v>
      </c>
      <c r="F42" s="40">
        <v>8113</v>
      </c>
      <c r="G42" s="41">
        <v>1</v>
      </c>
      <c r="J42" s="182" t="s">
        <v>0</v>
      </c>
      <c r="K42" s="182" t="s">
        <v>1</v>
      </c>
      <c r="L42" s="182" t="s">
        <v>2</v>
      </c>
      <c r="M42" s="182" t="s">
        <v>3</v>
      </c>
      <c r="N42" s="182" t="s">
        <v>4</v>
      </c>
      <c r="O42" s="182" t="s">
        <v>5</v>
      </c>
      <c r="P42" s="182" t="s">
        <v>6</v>
      </c>
      <c r="Q42" s="11"/>
      <c r="R42" s="182" t="s">
        <v>0</v>
      </c>
      <c r="S42" s="182" t="s">
        <v>1</v>
      </c>
      <c r="T42" s="182" t="s">
        <v>2</v>
      </c>
      <c r="U42" s="182" t="s">
        <v>3</v>
      </c>
      <c r="V42" s="182" t="s">
        <v>4</v>
      </c>
      <c r="W42" s="182" t="s">
        <v>5</v>
      </c>
      <c r="X42" s="182" t="s">
        <v>6</v>
      </c>
      <c r="Z42" s="182" t="s">
        <v>0</v>
      </c>
      <c r="AA42" s="182" t="s">
        <v>1</v>
      </c>
      <c r="AB42" s="182" t="s">
        <v>2</v>
      </c>
      <c r="AC42" s="182" t="s">
        <v>3</v>
      </c>
      <c r="AD42" s="182" t="s">
        <v>4</v>
      </c>
      <c r="AE42" s="182" t="s">
        <v>5</v>
      </c>
      <c r="AF42" s="182" t="s">
        <v>6</v>
      </c>
    </row>
    <row r="43" spans="1:32" x14ac:dyDescent="0.25">
      <c r="A43" s="39" t="s">
        <v>48</v>
      </c>
      <c r="B43" s="40">
        <v>13845</v>
      </c>
      <c r="C43" s="40">
        <v>13845</v>
      </c>
      <c r="D43" s="40">
        <v>0</v>
      </c>
      <c r="E43" s="40">
        <v>43.55</v>
      </c>
      <c r="F43" s="40">
        <v>62977</v>
      </c>
      <c r="G43" s="41">
        <v>1</v>
      </c>
      <c r="J43" s="108" t="s">
        <v>43</v>
      </c>
      <c r="K43" s="109">
        <v>10622.2</v>
      </c>
      <c r="L43" s="109">
        <v>10622.2</v>
      </c>
      <c r="M43" s="109">
        <v>0</v>
      </c>
      <c r="N43" s="109">
        <v>0.99</v>
      </c>
      <c r="O43" s="109">
        <v>1208</v>
      </c>
      <c r="P43" s="110">
        <v>1</v>
      </c>
      <c r="Q43" s="11"/>
      <c r="R43" s="117" t="s">
        <v>55</v>
      </c>
      <c r="S43" s="118">
        <v>15612.8</v>
      </c>
      <c r="T43" s="118">
        <v>15612.8</v>
      </c>
      <c r="U43" s="118">
        <v>0</v>
      </c>
      <c r="V43" s="118">
        <v>19.64</v>
      </c>
      <c r="W43" s="118">
        <v>29430</v>
      </c>
      <c r="X43" s="119">
        <v>1</v>
      </c>
      <c r="Z43" s="126" t="s">
        <v>67</v>
      </c>
      <c r="AA43" s="127">
        <v>27623.8</v>
      </c>
      <c r="AB43" s="127">
        <v>27623.8</v>
      </c>
      <c r="AC43" s="127">
        <v>0</v>
      </c>
      <c r="AD43" s="127">
        <v>10.42</v>
      </c>
      <c r="AE43" s="127">
        <v>7227</v>
      </c>
      <c r="AF43" s="128">
        <v>1</v>
      </c>
    </row>
    <row r="44" spans="1:32" x14ac:dyDescent="0.25">
      <c r="A44" s="39" t="s">
        <v>49</v>
      </c>
      <c r="B44" s="40">
        <v>12309</v>
      </c>
      <c r="C44" s="40">
        <v>12309</v>
      </c>
      <c r="D44" s="40">
        <v>0</v>
      </c>
      <c r="E44" s="40">
        <v>2.74</v>
      </c>
      <c r="F44" s="40">
        <v>2013</v>
      </c>
      <c r="G44" s="41">
        <v>1</v>
      </c>
      <c r="J44" s="111" t="s">
        <v>44</v>
      </c>
      <c r="K44" s="112">
        <v>12011</v>
      </c>
      <c r="L44" s="112">
        <v>12011</v>
      </c>
      <c r="M44" s="112">
        <v>0</v>
      </c>
      <c r="N44" s="112">
        <v>8.67</v>
      </c>
      <c r="O44" s="112">
        <v>14709</v>
      </c>
      <c r="P44" s="113">
        <v>1</v>
      </c>
      <c r="Q44" s="11"/>
      <c r="R44" s="120" t="s">
        <v>56</v>
      </c>
      <c r="S44" s="121">
        <v>15277.6</v>
      </c>
      <c r="T44" s="121">
        <v>15277.6</v>
      </c>
      <c r="U44" s="121">
        <v>0</v>
      </c>
      <c r="V44" s="121">
        <v>8.64</v>
      </c>
      <c r="W44" s="121">
        <v>6797</v>
      </c>
      <c r="X44" s="122">
        <v>1</v>
      </c>
      <c r="Z44" s="129" t="s">
        <v>68</v>
      </c>
      <c r="AA44" s="130">
        <v>24892.6</v>
      </c>
      <c r="AB44" s="130">
        <v>24892.6</v>
      </c>
      <c r="AC44" s="130">
        <v>0</v>
      </c>
      <c r="AD44" s="130">
        <v>19.75</v>
      </c>
      <c r="AE44" s="130">
        <v>23550</v>
      </c>
      <c r="AF44" s="131">
        <v>1</v>
      </c>
    </row>
    <row r="45" spans="1:32" x14ac:dyDescent="0.25">
      <c r="A45" s="39" t="s">
        <v>50</v>
      </c>
      <c r="B45" s="40">
        <v>13627</v>
      </c>
      <c r="C45" s="40">
        <v>13627</v>
      </c>
      <c r="D45" s="40">
        <v>0</v>
      </c>
      <c r="E45" s="40">
        <v>17.88</v>
      </c>
      <c r="F45" s="40">
        <v>31386</v>
      </c>
      <c r="G45" s="41">
        <v>1</v>
      </c>
      <c r="J45" s="111" t="s">
        <v>45</v>
      </c>
      <c r="K45" s="112">
        <v>10652.2</v>
      </c>
      <c r="L45" s="112">
        <v>10652.2</v>
      </c>
      <c r="M45" s="112">
        <v>0</v>
      </c>
      <c r="N45" s="112">
        <v>2.91</v>
      </c>
      <c r="O45" s="112">
        <v>2954</v>
      </c>
      <c r="P45" s="113">
        <v>1</v>
      </c>
      <c r="Q45" s="11"/>
      <c r="R45" s="120" t="s">
        <v>57</v>
      </c>
      <c r="S45" s="121">
        <v>14997.8</v>
      </c>
      <c r="T45" s="121">
        <v>14997.8</v>
      </c>
      <c r="U45" s="121">
        <v>0</v>
      </c>
      <c r="V45" s="121">
        <v>4.96</v>
      </c>
      <c r="W45" s="121">
        <v>3283</v>
      </c>
      <c r="X45" s="122">
        <v>1</v>
      </c>
      <c r="Z45" s="129" t="s">
        <v>69</v>
      </c>
      <c r="AA45" s="130">
        <v>26587.4</v>
      </c>
      <c r="AB45" s="130">
        <v>26587.4</v>
      </c>
      <c r="AC45" s="130">
        <v>0</v>
      </c>
      <c r="AD45" s="130">
        <v>8.64</v>
      </c>
      <c r="AE45" s="130">
        <v>1716</v>
      </c>
      <c r="AF45" s="131">
        <v>1</v>
      </c>
    </row>
    <row r="46" spans="1:32" x14ac:dyDescent="0.25">
      <c r="A46" s="39" t="s">
        <v>51</v>
      </c>
      <c r="B46" s="40">
        <v>13348</v>
      </c>
      <c r="C46" s="40">
        <v>13348</v>
      </c>
      <c r="D46" s="40">
        <v>0</v>
      </c>
      <c r="E46" s="40">
        <v>6.87</v>
      </c>
      <c r="F46" s="40">
        <v>7799</v>
      </c>
      <c r="G46" s="41">
        <v>1</v>
      </c>
      <c r="J46" s="111" t="s">
        <v>46</v>
      </c>
      <c r="K46" s="112">
        <v>11741.6</v>
      </c>
      <c r="L46" s="112">
        <v>11741.6</v>
      </c>
      <c r="M46" s="112">
        <v>0</v>
      </c>
      <c r="N46" s="112">
        <v>6.36</v>
      </c>
      <c r="O46" s="112">
        <v>10156</v>
      </c>
      <c r="P46" s="113">
        <v>1</v>
      </c>
      <c r="Q46" s="11"/>
      <c r="R46" s="120" t="s">
        <v>58</v>
      </c>
      <c r="S46" s="121">
        <v>15176.6</v>
      </c>
      <c r="T46" s="121">
        <v>15176.6</v>
      </c>
      <c r="U46" s="121">
        <v>0</v>
      </c>
      <c r="V46" s="121">
        <v>17.43</v>
      </c>
      <c r="W46" s="121">
        <v>28142</v>
      </c>
      <c r="X46" s="122">
        <v>1</v>
      </c>
      <c r="Z46" s="129" t="s">
        <v>70</v>
      </c>
      <c r="AA46" s="130">
        <v>24252.400000000001</v>
      </c>
      <c r="AB46" s="130">
        <v>24252.400000000001</v>
      </c>
      <c r="AC46" s="130">
        <v>0</v>
      </c>
      <c r="AD46" s="130">
        <v>16.010000000000002</v>
      </c>
      <c r="AE46" s="130">
        <v>13363</v>
      </c>
      <c r="AF46" s="131">
        <v>1</v>
      </c>
    </row>
    <row r="47" spans="1:32" x14ac:dyDescent="0.25">
      <c r="A47" s="39" t="s">
        <v>52</v>
      </c>
      <c r="B47" s="40">
        <v>15030.8</v>
      </c>
      <c r="C47" s="40">
        <v>15030.8</v>
      </c>
      <c r="D47" s="40">
        <v>0</v>
      </c>
      <c r="E47" s="40">
        <v>12.62</v>
      </c>
      <c r="F47" s="40">
        <v>18828</v>
      </c>
      <c r="G47" s="41">
        <v>1</v>
      </c>
      <c r="J47" s="111" t="s">
        <v>47</v>
      </c>
      <c r="K47" s="112">
        <v>12249.5</v>
      </c>
      <c r="L47" s="112">
        <v>12249.5</v>
      </c>
      <c r="M47" s="112">
        <v>0</v>
      </c>
      <c r="N47" s="112">
        <v>5.45</v>
      </c>
      <c r="O47" s="112">
        <v>8113</v>
      </c>
      <c r="P47" s="113">
        <v>1</v>
      </c>
      <c r="Q47" s="11"/>
      <c r="R47" s="120" t="s">
        <v>59</v>
      </c>
      <c r="S47" s="121">
        <v>16782</v>
      </c>
      <c r="T47" s="121">
        <v>16782</v>
      </c>
      <c r="U47" s="121">
        <v>0</v>
      </c>
      <c r="V47" s="121">
        <v>26.19</v>
      </c>
      <c r="W47" s="121">
        <v>39185</v>
      </c>
      <c r="X47" s="122">
        <v>1</v>
      </c>
      <c r="Z47" s="129" t="s">
        <v>71</v>
      </c>
      <c r="AA47" s="130">
        <v>29328.5</v>
      </c>
      <c r="AB47" s="130">
        <v>29328.5</v>
      </c>
      <c r="AC47" s="130">
        <v>0</v>
      </c>
      <c r="AD47" s="130">
        <v>21.62</v>
      </c>
      <c r="AE47" s="130">
        <v>21504</v>
      </c>
      <c r="AF47" s="131">
        <v>1</v>
      </c>
    </row>
    <row r="48" spans="1:32" x14ac:dyDescent="0.25">
      <c r="A48" s="39" t="s">
        <v>53</v>
      </c>
      <c r="B48" s="40">
        <v>13635.6</v>
      </c>
      <c r="C48" s="40">
        <v>13635.6</v>
      </c>
      <c r="D48" s="40">
        <v>0</v>
      </c>
      <c r="E48" s="40">
        <v>5.43</v>
      </c>
      <c r="F48" s="40">
        <v>5566</v>
      </c>
      <c r="G48" s="41">
        <v>1</v>
      </c>
      <c r="J48" s="111" t="s">
        <v>48</v>
      </c>
      <c r="K48" s="112">
        <v>13845</v>
      </c>
      <c r="L48" s="112">
        <v>13845</v>
      </c>
      <c r="M48" s="112">
        <v>0</v>
      </c>
      <c r="N48" s="112">
        <v>43.55</v>
      </c>
      <c r="O48" s="112">
        <v>62977</v>
      </c>
      <c r="P48" s="113">
        <v>1</v>
      </c>
      <c r="Q48" s="11"/>
      <c r="R48" s="120" t="s">
        <v>60</v>
      </c>
      <c r="S48" s="121">
        <v>17102.5</v>
      </c>
      <c r="T48" s="121">
        <v>17102.5</v>
      </c>
      <c r="U48" s="121">
        <v>0</v>
      </c>
      <c r="V48" s="121">
        <v>162.06</v>
      </c>
      <c r="W48" s="121">
        <v>278770</v>
      </c>
      <c r="X48" s="122">
        <v>1</v>
      </c>
      <c r="Z48" s="129" t="s">
        <v>72</v>
      </c>
      <c r="AA48" s="130">
        <v>26961.5</v>
      </c>
      <c r="AB48" s="130">
        <v>26961.5</v>
      </c>
      <c r="AC48" s="130">
        <v>0</v>
      </c>
      <c r="AD48" s="130">
        <v>67.27</v>
      </c>
      <c r="AE48" s="130">
        <v>94809</v>
      </c>
      <c r="AF48" s="131">
        <v>1</v>
      </c>
    </row>
    <row r="49" spans="1:32" ht="15.75" thickBot="1" x14ac:dyDescent="0.3">
      <c r="A49" s="42" t="s">
        <v>54</v>
      </c>
      <c r="B49" s="43">
        <v>15051.8</v>
      </c>
      <c r="C49" s="43">
        <v>15051.8</v>
      </c>
      <c r="D49" s="43">
        <v>0</v>
      </c>
      <c r="E49" s="43">
        <v>35.01</v>
      </c>
      <c r="F49" s="43">
        <v>77125</v>
      </c>
      <c r="G49" s="44">
        <v>1</v>
      </c>
      <c r="J49" s="111" t="s">
        <v>49</v>
      </c>
      <c r="K49" s="112">
        <v>12309</v>
      </c>
      <c r="L49" s="112">
        <v>12309</v>
      </c>
      <c r="M49" s="112">
        <v>0</v>
      </c>
      <c r="N49" s="112">
        <v>2.74</v>
      </c>
      <c r="O49" s="112">
        <v>2013</v>
      </c>
      <c r="P49" s="113">
        <v>1</v>
      </c>
      <c r="Q49" s="11"/>
      <c r="R49" s="120" t="s">
        <v>61</v>
      </c>
      <c r="S49" s="121">
        <v>16557</v>
      </c>
      <c r="T49" s="121">
        <v>16557</v>
      </c>
      <c r="U49" s="121">
        <v>0</v>
      </c>
      <c r="V49" s="121">
        <v>23.43</v>
      </c>
      <c r="W49" s="121">
        <v>36510</v>
      </c>
      <c r="X49" s="122">
        <v>1</v>
      </c>
      <c r="Z49" s="129" t="s">
        <v>73</v>
      </c>
      <c r="AA49" s="130">
        <v>28484</v>
      </c>
      <c r="AB49" s="130">
        <v>28484</v>
      </c>
      <c r="AC49" s="130">
        <v>0</v>
      </c>
      <c r="AD49" s="130">
        <v>11.52</v>
      </c>
      <c r="AE49" s="130">
        <v>4155</v>
      </c>
      <c r="AF49" s="131">
        <v>1</v>
      </c>
    </row>
    <row r="50" spans="1:32" x14ac:dyDescent="0.25">
      <c r="A50" s="45" t="s">
        <v>55</v>
      </c>
      <c r="B50" s="46">
        <v>15612.8</v>
      </c>
      <c r="C50" s="46">
        <v>15612.8</v>
      </c>
      <c r="D50" s="46">
        <v>0</v>
      </c>
      <c r="E50" s="46">
        <v>19.64</v>
      </c>
      <c r="F50" s="46">
        <v>29430</v>
      </c>
      <c r="G50" s="47">
        <v>1</v>
      </c>
      <c r="J50" s="111" t="s">
        <v>50</v>
      </c>
      <c r="K50" s="112">
        <v>13627</v>
      </c>
      <c r="L50" s="112">
        <v>13627</v>
      </c>
      <c r="M50" s="112">
        <v>0</v>
      </c>
      <c r="N50" s="112">
        <v>17.88</v>
      </c>
      <c r="O50" s="112">
        <v>31386</v>
      </c>
      <c r="P50" s="113">
        <v>1</v>
      </c>
      <c r="Q50" s="11"/>
      <c r="R50" s="120" t="s">
        <v>62</v>
      </c>
      <c r="S50" s="121">
        <v>17218</v>
      </c>
      <c r="T50" s="121">
        <v>17218</v>
      </c>
      <c r="U50" s="121">
        <v>0</v>
      </c>
      <c r="V50" s="121">
        <v>74.489999999999995</v>
      </c>
      <c r="W50" s="121">
        <v>128596</v>
      </c>
      <c r="X50" s="122">
        <v>1</v>
      </c>
      <c r="Z50" s="129" t="s">
        <v>74</v>
      </c>
      <c r="AA50" s="130">
        <v>27019</v>
      </c>
      <c r="AB50" s="130">
        <v>27019</v>
      </c>
      <c r="AC50" s="130">
        <v>0</v>
      </c>
      <c r="AD50" s="130">
        <v>31.73</v>
      </c>
      <c r="AE50" s="130">
        <v>46765</v>
      </c>
      <c r="AF50" s="131">
        <v>1</v>
      </c>
    </row>
    <row r="51" spans="1:32" x14ac:dyDescent="0.25">
      <c r="A51" s="48" t="s">
        <v>56</v>
      </c>
      <c r="B51" s="49">
        <v>15277.6</v>
      </c>
      <c r="C51" s="49">
        <v>15277.6</v>
      </c>
      <c r="D51" s="49">
        <v>0</v>
      </c>
      <c r="E51" s="49">
        <v>8.64</v>
      </c>
      <c r="F51" s="49">
        <v>6797</v>
      </c>
      <c r="G51" s="50">
        <v>1</v>
      </c>
      <c r="J51" s="111" t="s">
        <v>51</v>
      </c>
      <c r="K51" s="112">
        <v>13348</v>
      </c>
      <c r="L51" s="112">
        <v>13348</v>
      </c>
      <c r="M51" s="112">
        <v>0</v>
      </c>
      <c r="N51" s="112">
        <v>6.87</v>
      </c>
      <c r="O51" s="112">
        <v>7799</v>
      </c>
      <c r="P51" s="113">
        <v>1</v>
      </c>
      <c r="Q51" s="11"/>
      <c r="R51" s="120" t="s">
        <v>63</v>
      </c>
      <c r="S51" s="121">
        <v>18023.8</v>
      </c>
      <c r="T51" s="121">
        <v>18023.8</v>
      </c>
      <c r="U51" s="121">
        <v>0</v>
      </c>
      <c r="V51" s="121">
        <v>61.43</v>
      </c>
      <c r="W51" s="121">
        <v>108486</v>
      </c>
      <c r="X51" s="122">
        <v>1</v>
      </c>
      <c r="Z51" s="129" t="s">
        <v>75</v>
      </c>
      <c r="AA51" s="130">
        <v>30515.4</v>
      </c>
      <c r="AB51" s="130">
        <v>30515.4</v>
      </c>
      <c r="AC51" s="130">
        <v>0</v>
      </c>
      <c r="AD51" s="130">
        <v>17.03</v>
      </c>
      <c r="AE51" s="130">
        <v>20076</v>
      </c>
      <c r="AF51" s="131">
        <v>1</v>
      </c>
    </row>
    <row r="52" spans="1:32" x14ac:dyDescent="0.25">
      <c r="A52" s="48" t="s">
        <v>57</v>
      </c>
      <c r="B52" s="49">
        <v>14997.8</v>
      </c>
      <c r="C52" s="49">
        <v>14997.8</v>
      </c>
      <c r="D52" s="49">
        <v>0</v>
      </c>
      <c r="E52" s="49">
        <v>4.96</v>
      </c>
      <c r="F52" s="49">
        <v>3283</v>
      </c>
      <c r="G52" s="50">
        <v>1</v>
      </c>
      <c r="J52" s="111" t="s">
        <v>52</v>
      </c>
      <c r="K52" s="112">
        <v>15030.8</v>
      </c>
      <c r="L52" s="112">
        <v>15030.8</v>
      </c>
      <c r="M52" s="112">
        <v>0</v>
      </c>
      <c r="N52" s="112">
        <v>12.62</v>
      </c>
      <c r="O52" s="112">
        <v>18828</v>
      </c>
      <c r="P52" s="113">
        <v>1</v>
      </c>
      <c r="Q52" s="11"/>
      <c r="R52" s="120" t="s">
        <v>64</v>
      </c>
      <c r="S52" s="121">
        <v>18780.2</v>
      </c>
      <c r="T52" s="121">
        <v>18779.400000000001</v>
      </c>
      <c r="U52" s="121">
        <v>0</v>
      </c>
      <c r="V52" s="121">
        <v>1231.55</v>
      </c>
      <c r="W52" s="121" t="s">
        <v>127</v>
      </c>
      <c r="X52" s="122">
        <v>1</v>
      </c>
      <c r="Z52" s="129" t="s">
        <v>76</v>
      </c>
      <c r="AA52" s="130">
        <v>28758.400000000001</v>
      </c>
      <c r="AB52" s="130">
        <v>28758.400000000001</v>
      </c>
      <c r="AC52" s="130">
        <v>0</v>
      </c>
      <c r="AD52" s="130">
        <v>122.25</v>
      </c>
      <c r="AE52" s="130">
        <v>153921</v>
      </c>
      <c r="AF52" s="131">
        <v>1</v>
      </c>
    </row>
    <row r="53" spans="1:32" x14ac:dyDescent="0.25">
      <c r="A53" s="48" t="s">
        <v>58</v>
      </c>
      <c r="B53" s="49">
        <v>15176.6</v>
      </c>
      <c r="C53" s="49">
        <v>15176.6</v>
      </c>
      <c r="D53" s="49">
        <v>0</v>
      </c>
      <c r="E53" s="49">
        <v>17.43</v>
      </c>
      <c r="F53" s="49">
        <v>28142</v>
      </c>
      <c r="G53" s="50">
        <v>1</v>
      </c>
      <c r="J53" s="111" t="s">
        <v>53</v>
      </c>
      <c r="K53" s="112">
        <v>13635.6</v>
      </c>
      <c r="L53" s="112">
        <v>13635.6</v>
      </c>
      <c r="M53" s="112">
        <v>0</v>
      </c>
      <c r="N53" s="112">
        <v>5.43</v>
      </c>
      <c r="O53" s="112">
        <v>5566</v>
      </c>
      <c r="P53" s="113">
        <v>1</v>
      </c>
      <c r="Q53" s="11"/>
      <c r="R53" s="120" t="s">
        <v>65</v>
      </c>
      <c r="S53" s="121">
        <v>17742.8</v>
      </c>
      <c r="T53" s="121">
        <v>17742.8</v>
      </c>
      <c r="U53" s="121">
        <v>0</v>
      </c>
      <c r="V53" s="121">
        <v>9.4700000000000006</v>
      </c>
      <c r="W53" s="121">
        <v>6770</v>
      </c>
      <c r="X53" s="122">
        <v>1</v>
      </c>
      <c r="Z53" s="129" t="s">
        <v>77</v>
      </c>
      <c r="AA53" s="130">
        <v>29864.6</v>
      </c>
      <c r="AB53" s="130">
        <v>29864.6</v>
      </c>
      <c r="AC53" s="130">
        <v>0</v>
      </c>
      <c r="AD53" s="130">
        <v>14.86</v>
      </c>
      <c r="AE53" s="130">
        <v>12832</v>
      </c>
      <c r="AF53" s="131">
        <v>1</v>
      </c>
    </row>
    <row r="54" spans="1:32" ht="15.75" thickBot="1" x14ac:dyDescent="0.3">
      <c r="A54" s="48" t="s">
        <v>59</v>
      </c>
      <c r="B54" s="49">
        <v>16782</v>
      </c>
      <c r="C54" s="49">
        <v>16782</v>
      </c>
      <c r="D54" s="49">
        <v>0</v>
      </c>
      <c r="E54" s="49">
        <v>26.19</v>
      </c>
      <c r="F54" s="49">
        <v>39185</v>
      </c>
      <c r="G54" s="50">
        <v>1</v>
      </c>
      <c r="J54" s="114" t="s">
        <v>54</v>
      </c>
      <c r="K54" s="115">
        <v>15051.8</v>
      </c>
      <c r="L54" s="115">
        <v>15051.8</v>
      </c>
      <c r="M54" s="115">
        <v>0</v>
      </c>
      <c r="N54" s="115">
        <v>35.01</v>
      </c>
      <c r="O54" s="115">
        <v>77125</v>
      </c>
      <c r="P54" s="116">
        <v>1</v>
      </c>
      <c r="Q54" s="11"/>
      <c r="R54" s="123" t="s">
        <v>66</v>
      </c>
      <c r="S54" s="124">
        <v>18646.599999999999</v>
      </c>
      <c r="T54" s="124">
        <v>18646.599999999999</v>
      </c>
      <c r="U54" s="124">
        <v>0</v>
      </c>
      <c r="V54" s="124">
        <v>110.16</v>
      </c>
      <c r="W54" s="124">
        <v>168656</v>
      </c>
      <c r="X54" s="125">
        <v>1</v>
      </c>
      <c r="Z54" s="132" t="s">
        <v>78</v>
      </c>
      <c r="AA54" s="133">
        <v>28195.200000000001</v>
      </c>
      <c r="AB54" s="133">
        <v>28195.200000000001</v>
      </c>
      <c r="AC54" s="133">
        <v>0</v>
      </c>
      <c r="AD54" s="133">
        <v>54.97</v>
      </c>
      <c r="AE54" s="133">
        <v>76656</v>
      </c>
      <c r="AF54" s="134">
        <v>1</v>
      </c>
    </row>
    <row r="55" spans="1:32" ht="15.75" thickBot="1" x14ac:dyDescent="0.3">
      <c r="A55" s="48" t="s">
        <v>60</v>
      </c>
      <c r="B55" s="49">
        <v>17102.5</v>
      </c>
      <c r="C55" s="49">
        <v>17102.5</v>
      </c>
      <c r="D55" s="49">
        <v>0</v>
      </c>
      <c r="E55" s="49">
        <v>162.06</v>
      </c>
      <c r="F55" s="49">
        <v>278770</v>
      </c>
      <c r="G55" s="50">
        <v>1</v>
      </c>
      <c r="J55" s="170" t="s">
        <v>131</v>
      </c>
      <c r="K55" s="171">
        <f>AVERAGE(K43:K54)</f>
        <v>12843.641666666665</v>
      </c>
      <c r="L55" s="171">
        <f t="shared" ref="L55:O55" si="4">AVERAGE(L43:L54)</f>
        <v>12843.641666666665</v>
      </c>
      <c r="M55" s="171">
        <f t="shared" si="4"/>
        <v>0</v>
      </c>
      <c r="N55" s="171">
        <f t="shared" si="4"/>
        <v>12.373333333333333</v>
      </c>
      <c r="O55" s="171">
        <f t="shared" si="4"/>
        <v>20236.166666666668</v>
      </c>
      <c r="P55" s="172">
        <f>SUM(P43:P54)</f>
        <v>12</v>
      </c>
      <c r="Q55" s="11"/>
      <c r="R55" s="170" t="s">
        <v>132</v>
      </c>
      <c r="S55" s="171">
        <f>AVERAGE(S43:S54)</f>
        <v>16826.474999999999</v>
      </c>
      <c r="T55" s="171">
        <f t="shared" ref="T55:W55" si="5">AVERAGE(T43:T54)</f>
        <v>16826.408333333329</v>
      </c>
      <c r="U55" s="171">
        <f t="shared" si="5"/>
        <v>0</v>
      </c>
      <c r="V55" s="171">
        <f t="shared" si="5"/>
        <v>145.78749999999999</v>
      </c>
      <c r="W55" s="171">
        <f t="shared" si="5"/>
        <v>75875</v>
      </c>
      <c r="X55" s="172">
        <f>SUM(X43:X54)</f>
        <v>12</v>
      </c>
      <c r="Z55" s="170" t="s">
        <v>133</v>
      </c>
      <c r="AA55" s="171">
        <f>AVERAGE(AA43:AA54)</f>
        <v>27706.899999999998</v>
      </c>
      <c r="AB55" s="171">
        <f t="shared" ref="AB55:AE55" si="6">AVERAGE(AB43:AB54)</f>
        <v>27706.899999999998</v>
      </c>
      <c r="AC55" s="171">
        <f t="shared" si="6"/>
        <v>0</v>
      </c>
      <c r="AD55" s="171">
        <f t="shared" si="6"/>
        <v>33.005833333333335</v>
      </c>
      <c r="AE55" s="171">
        <f t="shared" si="6"/>
        <v>39714.5</v>
      </c>
      <c r="AF55" s="172">
        <f>SUM(AF43:AF54)</f>
        <v>12</v>
      </c>
    </row>
    <row r="56" spans="1:32" x14ac:dyDescent="0.25">
      <c r="A56" s="48" t="s">
        <v>61</v>
      </c>
      <c r="B56" s="49">
        <v>16557</v>
      </c>
      <c r="C56" s="49">
        <v>16557</v>
      </c>
      <c r="D56" s="49">
        <v>0</v>
      </c>
      <c r="E56" s="49">
        <v>23.43</v>
      </c>
      <c r="F56" s="49">
        <v>36510</v>
      </c>
      <c r="G56" s="50">
        <v>1</v>
      </c>
      <c r="K56" s="11"/>
      <c r="L56" s="11"/>
      <c r="M56" s="11"/>
      <c r="N56" s="11"/>
      <c r="O56" s="11"/>
      <c r="P56" s="11"/>
      <c r="Q56" s="11"/>
      <c r="R56" s="11"/>
      <c r="S56" s="11"/>
    </row>
    <row r="57" spans="1:32" x14ac:dyDescent="0.25">
      <c r="A57" s="48" t="s">
        <v>62</v>
      </c>
      <c r="B57" s="49">
        <v>17218</v>
      </c>
      <c r="C57" s="49">
        <v>17218</v>
      </c>
      <c r="D57" s="49">
        <v>0</v>
      </c>
      <c r="E57" s="49">
        <v>74.489999999999995</v>
      </c>
      <c r="F57" s="49">
        <v>128596</v>
      </c>
      <c r="G57" s="50">
        <v>1</v>
      </c>
      <c r="K57" s="11"/>
      <c r="L57" s="11"/>
      <c r="M57" s="11"/>
      <c r="N57" s="11"/>
      <c r="O57" s="11"/>
      <c r="P57" s="11"/>
      <c r="Q57" s="11"/>
      <c r="R57" s="11"/>
      <c r="S57" s="11"/>
    </row>
    <row r="58" spans="1:32" ht="15.75" thickBot="1" x14ac:dyDescent="0.3">
      <c r="A58" s="48" t="s">
        <v>63</v>
      </c>
      <c r="B58" s="49">
        <v>18023.8</v>
      </c>
      <c r="C58" s="49">
        <v>18023.8</v>
      </c>
      <c r="D58" s="49">
        <v>0</v>
      </c>
      <c r="E58" s="49">
        <v>61.43</v>
      </c>
      <c r="F58" s="49">
        <v>108486</v>
      </c>
      <c r="G58" s="50">
        <v>1</v>
      </c>
      <c r="J58" s="182" t="s">
        <v>0</v>
      </c>
      <c r="K58" s="182" t="s">
        <v>1</v>
      </c>
      <c r="L58" s="182" t="s">
        <v>2</v>
      </c>
      <c r="M58" s="182" t="s">
        <v>3</v>
      </c>
      <c r="N58" s="182" t="s">
        <v>4</v>
      </c>
      <c r="O58" s="182" t="s">
        <v>5</v>
      </c>
      <c r="P58" s="182" t="s">
        <v>6</v>
      </c>
      <c r="Q58" s="11"/>
      <c r="R58" s="182" t="s">
        <v>0</v>
      </c>
      <c r="S58" s="182" t="s">
        <v>1</v>
      </c>
      <c r="T58" s="182" t="s">
        <v>2</v>
      </c>
      <c r="U58" s="182" t="s">
        <v>3</v>
      </c>
      <c r="V58" s="182" t="s">
        <v>4</v>
      </c>
      <c r="W58" s="182" t="s">
        <v>5</v>
      </c>
      <c r="X58" s="182" t="s">
        <v>6</v>
      </c>
      <c r="Z58" s="182" t="s">
        <v>0</v>
      </c>
      <c r="AA58" s="182" t="s">
        <v>1</v>
      </c>
      <c r="AB58" s="182" t="s">
        <v>2</v>
      </c>
      <c r="AC58" s="182" t="s">
        <v>3</v>
      </c>
      <c r="AD58" s="182" t="s">
        <v>4</v>
      </c>
      <c r="AE58" s="182" t="s">
        <v>5</v>
      </c>
      <c r="AF58" s="182" t="s">
        <v>6</v>
      </c>
    </row>
    <row r="59" spans="1:32" x14ac:dyDescent="0.25">
      <c r="A59" s="48" t="s">
        <v>64</v>
      </c>
      <c r="B59" s="49">
        <v>18780.2</v>
      </c>
      <c r="C59" s="49">
        <v>18779.400000000001</v>
      </c>
      <c r="D59" s="49">
        <v>0</v>
      </c>
      <c r="E59" s="49">
        <v>1231.55</v>
      </c>
      <c r="F59" s="49" t="s">
        <v>127</v>
      </c>
      <c r="G59" s="50">
        <v>1</v>
      </c>
      <c r="J59" s="135" t="s">
        <v>79</v>
      </c>
      <c r="K59" s="136">
        <v>14443.4</v>
      </c>
      <c r="L59" s="136">
        <v>14443.4</v>
      </c>
      <c r="M59" s="136">
        <v>0</v>
      </c>
      <c r="N59" s="136">
        <v>0.46</v>
      </c>
      <c r="O59" s="136">
        <v>119</v>
      </c>
      <c r="P59" s="137">
        <v>1</v>
      </c>
      <c r="Q59" s="11"/>
      <c r="R59" s="144" t="s">
        <v>91</v>
      </c>
      <c r="S59" s="145">
        <v>19646</v>
      </c>
      <c r="T59" s="145">
        <v>19646</v>
      </c>
      <c r="U59" s="145">
        <v>0</v>
      </c>
      <c r="V59" s="145">
        <v>1.63</v>
      </c>
      <c r="W59" s="145">
        <v>1108</v>
      </c>
      <c r="X59" s="146">
        <v>1</v>
      </c>
      <c r="Z59" s="153" t="s">
        <v>103</v>
      </c>
      <c r="AA59" s="154">
        <v>32952.400000000001</v>
      </c>
      <c r="AB59" s="154">
        <v>32952.400000000001</v>
      </c>
      <c r="AC59" s="154">
        <v>0</v>
      </c>
      <c r="AD59" s="154">
        <v>5.01</v>
      </c>
      <c r="AE59" s="154">
        <v>996</v>
      </c>
      <c r="AF59" s="155">
        <v>1</v>
      </c>
    </row>
    <row r="60" spans="1:32" x14ac:dyDescent="0.25">
      <c r="A60" s="48" t="s">
        <v>65</v>
      </c>
      <c r="B60" s="49">
        <v>17742.8</v>
      </c>
      <c r="C60" s="49">
        <v>17742.8</v>
      </c>
      <c r="D60" s="49">
        <v>0</v>
      </c>
      <c r="E60" s="49">
        <v>9.4700000000000006</v>
      </c>
      <c r="F60" s="49">
        <v>6770</v>
      </c>
      <c r="G60" s="50">
        <v>1</v>
      </c>
      <c r="J60" s="138" t="s">
        <v>80</v>
      </c>
      <c r="K60" s="139">
        <v>18364</v>
      </c>
      <c r="L60" s="139">
        <v>18364</v>
      </c>
      <c r="M60" s="139">
        <v>0</v>
      </c>
      <c r="N60" s="139">
        <v>2.15</v>
      </c>
      <c r="O60" s="139">
        <v>2599</v>
      </c>
      <c r="P60" s="140">
        <v>1</v>
      </c>
      <c r="Q60" s="11"/>
      <c r="R60" s="147" t="s">
        <v>92</v>
      </c>
      <c r="S60" s="148">
        <v>22567.599999999999</v>
      </c>
      <c r="T60" s="148">
        <v>22567.599999999999</v>
      </c>
      <c r="U60" s="148">
        <v>0</v>
      </c>
      <c r="V60" s="148">
        <v>4.33</v>
      </c>
      <c r="W60" s="148">
        <v>1282</v>
      </c>
      <c r="X60" s="149">
        <v>1</v>
      </c>
      <c r="Z60" s="156" t="s">
        <v>104</v>
      </c>
      <c r="AA60" s="157">
        <v>33332.199999999997</v>
      </c>
      <c r="AB60" s="157">
        <v>33332.199999999997</v>
      </c>
      <c r="AC60" s="157">
        <v>0</v>
      </c>
      <c r="AD60" s="157">
        <v>4.87</v>
      </c>
      <c r="AE60" s="157">
        <v>2097</v>
      </c>
      <c r="AF60" s="158">
        <v>1</v>
      </c>
    </row>
    <row r="61" spans="1:32" ht="15.75" thickBot="1" x14ac:dyDescent="0.3">
      <c r="A61" s="51" t="s">
        <v>66</v>
      </c>
      <c r="B61" s="52">
        <v>18646.599999999999</v>
      </c>
      <c r="C61" s="52">
        <v>18646.599999999999</v>
      </c>
      <c r="D61" s="52">
        <v>0</v>
      </c>
      <c r="E61" s="52">
        <v>110.16</v>
      </c>
      <c r="F61" s="52">
        <v>168656</v>
      </c>
      <c r="G61" s="53">
        <v>1</v>
      </c>
      <c r="J61" s="138" t="s">
        <v>81</v>
      </c>
      <c r="K61" s="139">
        <v>14954</v>
      </c>
      <c r="L61" s="139">
        <v>14954</v>
      </c>
      <c r="M61" s="139">
        <v>0</v>
      </c>
      <c r="N61" s="139">
        <v>0.5</v>
      </c>
      <c r="O61" s="139">
        <v>239</v>
      </c>
      <c r="P61" s="140">
        <v>1</v>
      </c>
      <c r="Q61" s="11"/>
      <c r="R61" s="147" t="s">
        <v>93</v>
      </c>
      <c r="S61" s="148">
        <v>19880.400000000001</v>
      </c>
      <c r="T61" s="148">
        <v>19880.400000000001</v>
      </c>
      <c r="U61" s="148">
        <v>0</v>
      </c>
      <c r="V61" s="148">
        <v>2.42</v>
      </c>
      <c r="W61" s="148">
        <v>1447</v>
      </c>
      <c r="X61" s="149">
        <v>1</v>
      </c>
      <c r="Z61" s="156" t="s">
        <v>105</v>
      </c>
      <c r="AA61" s="157">
        <v>33072.400000000001</v>
      </c>
      <c r="AB61" s="157">
        <v>33072.400000000001</v>
      </c>
      <c r="AC61" s="157">
        <v>0</v>
      </c>
      <c r="AD61" s="157">
        <v>4.74</v>
      </c>
      <c r="AE61" s="157">
        <v>1521</v>
      </c>
      <c r="AF61" s="158">
        <v>1</v>
      </c>
    </row>
    <row r="62" spans="1:32" x14ac:dyDescent="0.25">
      <c r="A62" s="54" t="s">
        <v>67</v>
      </c>
      <c r="B62" s="55">
        <v>27623.8</v>
      </c>
      <c r="C62" s="55">
        <v>27623.8</v>
      </c>
      <c r="D62" s="55">
        <v>0</v>
      </c>
      <c r="E62" s="55">
        <v>10.42</v>
      </c>
      <c r="F62" s="55">
        <v>7227</v>
      </c>
      <c r="G62" s="56">
        <v>1</v>
      </c>
      <c r="J62" s="138" t="s">
        <v>82</v>
      </c>
      <c r="K62" s="139">
        <v>17857.8</v>
      </c>
      <c r="L62" s="139">
        <v>17857.8</v>
      </c>
      <c r="M62" s="139">
        <v>0</v>
      </c>
      <c r="N62" s="139">
        <v>0.55000000000000004</v>
      </c>
      <c r="O62" s="139">
        <v>303</v>
      </c>
      <c r="P62" s="140">
        <v>1</v>
      </c>
      <c r="Q62" s="11"/>
      <c r="R62" s="147" t="s">
        <v>94</v>
      </c>
      <c r="S62" s="148">
        <v>22483.8</v>
      </c>
      <c r="T62" s="148">
        <v>22483.78</v>
      </c>
      <c r="U62" s="148">
        <v>0</v>
      </c>
      <c r="V62" s="148">
        <v>3.33</v>
      </c>
      <c r="W62" s="148">
        <v>1155</v>
      </c>
      <c r="X62" s="149">
        <v>1</v>
      </c>
      <c r="Z62" s="156" t="s">
        <v>106</v>
      </c>
      <c r="AA62" s="157">
        <v>33115</v>
      </c>
      <c r="AB62" s="157">
        <v>33115</v>
      </c>
      <c r="AC62" s="157">
        <v>0</v>
      </c>
      <c r="AD62" s="157">
        <v>4.49</v>
      </c>
      <c r="AE62" s="157">
        <v>2118</v>
      </c>
      <c r="AF62" s="158">
        <v>1</v>
      </c>
    </row>
    <row r="63" spans="1:32" x14ac:dyDescent="0.25">
      <c r="A63" s="57" t="s">
        <v>68</v>
      </c>
      <c r="B63" s="58">
        <v>24892.6</v>
      </c>
      <c r="C63" s="58">
        <v>24892.6</v>
      </c>
      <c r="D63" s="58">
        <v>0</v>
      </c>
      <c r="E63" s="58">
        <v>19.75</v>
      </c>
      <c r="F63" s="58">
        <v>23550</v>
      </c>
      <c r="G63" s="59">
        <v>1</v>
      </c>
      <c r="J63" s="138" t="s">
        <v>83</v>
      </c>
      <c r="K63" s="139">
        <v>18546</v>
      </c>
      <c r="L63" s="139">
        <v>18546</v>
      </c>
      <c r="M63" s="139">
        <v>0</v>
      </c>
      <c r="N63" s="139">
        <v>0.83</v>
      </c>
      <c r="O63" s="139">
        <v>648</v>
      </c>
      <c r="P63" s="140">
        <v>1</v>
      </c>
      <c r="Q63" s="11"/>
      <c r="R63" s="147" t="s">
        <v>95</v>
      </c>
      <c r="S63" s="148">
        <v>23013.5</v>
      </c>
      <c r="T63" s="148">
        <v>23013.5</v>
      </c>
      <c r="U63" s="148">
        <v>0</v>
      </c>
      <c r="V63" s="148">
        <v>3.11</v>
      </c>
      <c r="W63" s="148">
        <v>1949</v>
      </c>
      <c r="X63" s="149">
        <v>1</v>
      </c>
      <c r="Z63" s="156" t="s">
        <v>107</v>
      </c>
      <c r="AA63" s="157">
        <v>36286</v>
      </c>
      <c r="AB63" s="157">
        <v>36286</v>
      </c>
      <c r="AC63" s="157">
        <v>0</v>
      </c>
      <c r="AD63" s="157">
        <v>5.69</v>
      </c>
      <c r="AE63" s="157">
        <v>2346</v>
      </c>
      <c r="AF63" s="158">
        <v>1</v>
      </c>
    </row>
    <row r="64" spans="1:32" x14ac:dyDescent="0.25">
      <c r="A64" s="57" t="s">
        <v>69</v>
      </c>
      <c r="B64" s="58">
        <v>26587.4</v>
      </c>
      <c r="C64" s="58">
        <v>26587.4</v>
      </c>
      <c r="D64" s="58">
        <v>0</v>
      </c>
      <c r="E64" s="58">
        <v>8.64</v>
      </c>
      <c r="F64" s="58">
        <v>1716</v>
      </c>
      <c r="G64" s="59">
        <v>1</v>
      </c>
      <c r="J64" s="138" t="s">
        <v>84</v>
      </c>
      <c r="K64" s="139">
        <v>23069.5</v>
      </c>
      <c r="L64" s="139">
        <v>23069.5</v>
      </c>
      <c r="M64" s="139">
        <v>0</v>
      </c>
      <c r="N64" s="139">
        <v>5.98</v>
      </c>
      <c r="O64" s="139">
        <v>5839</v>
      </c>
      <c r="P64" s="140">
        <v>1</v>
      </c>
      <c r="Q64" s="11"/>
      <c r="R64" s="147" t="s">
        <v>96</v>
      </c>
      <c r="S64" s="148">
        <v>27076</v>
      </c>
      <c r="T64" s="148">
        <v>27076</v>
      </c>
      <c r="U64" s="148">
        <v>0</v>
      </c>
      <c r="V64" s="148">
        <v>5.29</v>
      </c>
      <c r="W64" s="148">
        <v>2878</v>
      </c>
      <c r="X64" s="149">
        <v>1</v>
      </c>
      <c r="Z64" s="156" t="s">
        <v>108</v>
      </c>
      <c r="AA64" s="157">
        <v>37205.5</v>
      </c>
      <c r="AB64" s="157">
        <v>37205.5</v>
      </c>
      <c r="AC64" s="157">
        <v>0</v>
      </c>
      <c r="AD64" s="157">
        <v>10.55</v>
      </c>
      <c r="AE64" s="157">
        <v>5179</v>
      </c>
      <c r="AF64" s="158">
        <v>1</v>
      </c>
    </row>
    <row r="65" spans="1:32" x14ac:dyDescent="0.25">
      <c r="A65" s="57" t="s">
        <v>70</v>
      </c>
      <c r="B65" s="58">
        <v>24252.400000000001</v>
      </c>
      <c r="C65" s="58">
        <v>24252.400000000001</v>
      </c>
      <c r="D65" s="58">
        <v>0</v>
      </c>
      <c r="E65" s="58">
        <v>16.010000000000002</v>
      </c>
      <c r="F65" s="58">
        <v>13363</v>
      </c>
      <c r="G65" s="59">
        <v>1</v>
      </c>
      <c r="J65" s="138" t="s">
        <v>85</v>
      </c>
      <c r="K65" s="139">
        <v>18657.5</v>
      </c>
      <c r="L65" s="139">
        <v>18657.5</v>
      </c>
      <c r="M65" s="139">
        <v>0</v>
      </c>
      <c r="N65" s="139">
        <v>1.03</v>
      </c>
      <c r="O65" s="139">
        <v>1236</v>
      </c>
      <c r="P65" s="140">
        <v>1</v>
      </c>
      <c r="Q65" s="11"/>
      <c r="R65" s="147" t="s">
        <v>97</v>
      </c>
      <c r="S65" s="148">
        <v>22706.5</v>
      </c>
      <c r="T65" s="148">
        <v>22706.5</v>
      </c>
      <c r="U65" s="148">
        <v>0</v>
      </c>
      <c r="V65" s="148">
        <v>1.58</v>
      </c>
      <c r="W65" s="148">
        <v>1425</v>
      </c>
      <c r="X65" s="149">
        <v>1</v>
      </c>
      <c r="Z65" s="156" t="s">
        <v>109</v>
      </c>
      <c r="AA65" s="157">
        <v>36173.5</v>
      </c>
      <c r="AB65" s="157">
        <v>36173.5</v>
      </c>
      <c r="AC65" s="157">
        <v>0</v>
      </c>
      <c r="AD65" s="157">
        <v>4.22</v>
      </c>
      <c r="AE65" s="157">
        <v>1170</v>
      </c>
      <c r="AF65" s="158">
        <v>1</v>
      </c>
    </row>
    <row r="66" spans="1:32" x14ac:dyDescent="0.25">
      <c r="A66" s="57" t="s">
        <v>71</v>
      </c>
      <c r="B66" s="58">
        <v>29328.5</v>
      </c>
      <c r="C66" s="58">
        <v>29328.5</v>
      </c>
      <c r="D66" s="58">
        <v>0</v>
      </c>
      <c r="E66" s="58">
        <v>21.62</v>
      </c>
      <c r="F66" s="58">
        <v>21504</v>
      </c>
      <c r="G66" s="59">
        <v>1</v>
      </c>
      <c r="J66" s="138" t="s">
        <v>86</v>
      </c>
      <c r="K66" s="139">
        <v>23329</v>
      </c>
      <c r="L66" s="139">
        <v>23329</v>
      </c>
      <c r="M66" s="139">
        <v>0</v>
      </c>
      <c r="N66" s="139">
        <v>3.21</v>
      </c>
      <c r="O66" s="139">
        <v>2182</v>
      </c>
      <c r="P66" s="140">
        <v>1</v>
      </c>
      <c r="Q66" s="11"/>
      <c r="R66" s="147" t="s">
        <v>98</v>
      </c>
      <c r="S66" s="148">
        <v>26754</v>
      </c>
      <c r="T66" s="148">
        <v>26754</v>
      </c>
      <c r="U66" s="148">
        <v>0</v>
      </c>
      <c r="V66" s="148">
        <v>4.96</v>
      </c>
      <c r="W66" s="148">
        <v>4256</v>
      </c>
      <c r="X66" s="149">
        <v>1</v>
      </c>
      <c r="Z66" s="156" t="s">
        <v>110</v>
      </c>
      <c r="AA66" s="157">
        <v>36817</v>
      </c>
      <c r="AB66" s="157">
        <v>36817</v>
      </c>
      <c r="AC66" s="157">
        <v>0</v>
      </c>
      <c r="AD66" s="157">
        <v>10.119999999999999</v>
      </c>
      <c r="AE66" s="157">
        <v>7039</v>
      </c>
      <c r="AF66" s="158">
        <v>1</v>
      </c>
    </row>
    <row r="67" spans="1:32" x14ac:dyDescent="0.25">
      <c r="A67" s="57" t="s">
        <v>72</v>
      </c>
      <c r="B67" s="58">
        <v>26961.5</v>
      </c>
      <c r="C67" s="58">
        <v>26961.5</v>
      </c>
      <c r="D67" s="58">
        <v>0</v>
      </c>
      <c r="E67" s="58">
        <v>67.27</v>
      </c>
      <c r="F67" s="58">
        <v>94809</v>
      </c>
      <c r="G67" s="59">
        <v>1</v>
      </c>
      <c r="J67" s="138" t="s">
        <v>87</v>
      </c>
      <c r="K67" s="139">
        <v>20999.8</v>
      </c>
      <c r="L67" s="139">
        <v>20999.8</v>
      </c>
      <c r="M67" s="139">
        <v>0</v>
      </c>
      <c r="N67" s="139">
        <v>0.9</v>
      </c>
      <c r="O67" s="139">
        <v>1095</v>
      </c>
      <c r="P67" s="140">
        <v>1</v>
      </c>
      <c r="Q67" s="11"/>
      <c r="R67" s="147" t="s">
        <v>99</v>
      </c>
      <c r="S67" s="148">
        <v>25890.799999999999</v>
      </c>
      <c r="T67" s="148">
        <v>25890.799999999999</v>
      </c>
      <c r="U67" s="148">
        <v>0</v>
      </c>
      <c r="V67" s="148">
        <v>2.65</v>
      </c>
      <c r="W67" s="148">
        <v>1342</v>
      </c>
      <c r="X67" s="149">
        <v>1</v>
      </c>
      <c r="Z67" s="156" t="s">
        <v>111</v>
      </c>
      <c r="AA67" s="157">
        <v>38622.800000000003</v>
      </c>
      <c r="AB67" s="157">
        <v>38622.800000000003</v>
      </c>
      <c r="AC67" s="157">
        <v>0</v>
      </c>
      <c r="AD67" s="157">
        <v>7.83</v>
      </c>
      <c r="AE67" s="157">
        <v>2947</v>
      </c>
      <c r="AF67" s="158">
        <v>1</v>
      </c>
    </row>
    <row r="68" spans="1:32" x14ac:dyDescent="0.25">
      <c r="A68" s="57" t="s">
        <v>73</v>
      </c>
      <c r="B68" s="58">
        <v>28484</v>
      </c>
      <c r="C68" s="58">
        <v>28484</v>
      </c>
      <c r="D68" s="58">
        <v>0</v>
      </c>
      <c r="E68" s="58">
        <v>11.52</v>
      </c>
      <c r="F68" s="58">
        <v>4155</v>
      </c>
      <c r="G68" s="59">
        <v>1</v>
      </c>
      <c r="J68" s="138" t="s">
        <v>88</v>
      </c>
      <c r="K68" s="139">
        <v>26519.599999999999</v>
      </c>
      <c r="L68" s="139">
        <v>26519.599999999999</v>
      </c>
      <c r="M68" s="139">
        <v>0</v>
      </c>
      <c r="N68" s="139">
        <v>4.76</v>
      </c>
      <c r="O68" s="139">
        <v>4541</v>
      </c>
      <c r="P68" s="140">
        <v>1</v>
      </c>
      <c r="Q68" s="11"/>
      <c r="R68" s="147" t="s">
        <v>100</v>
      </c>
      <c r="S68" s="148">
        <v>30229.200000000001</v>
      </c>
      <c r="T68" s="148">
        <v>30229.200000000001</v>
      </c>
      <c r="U68" s="148">
        <v>0</v>
      </c>
      <c r="V68" s="148">
        <v>6.47</v>
      </c>
      <c r="W68" s="148">
        <v>6387</v>
      </c>
      <c r="X68" s="149">
        <v>1</v>
      </c>
      <c r="Z68" s="156" t="s">
        <v>112</v>
      </c>
      <c r="AA68" s="157">
        <v>40310.400000000001</v>
      </c>
      <c r="AB68" s="157">
        <v>40310.400000000001</v>
      </c>
      <c r="AC68" s="157">
        <v>0</v>
      </c>
      <c r="AD68" s="157">
        <v>19.559999999999999</v>
      </c>
      <c r="AE68" s="157">
        <v>22150</v>
      </c>
      <c r="AF68" s="158">
        <v>1</v>
      </c>
    </row>
    <row r="69" spans="1:32" x14ac:dyDescent="0.25">
      <c r="A69" s="57" t="s">
        <v>74</v>
      </c>
      <c r="B69" s="58">
        <v>27019</v>
      </c>
      <c r="C69" s="58">
        <v>27019</v>
      </c>
      <c r="D69" s="58">
        <v>0</v>
      </c>
      <c r="E69" s="58">
        <v>31.73</v>
      </c>
      <c r="F69" s="58">
        <v>46765</v>
      </c>
      <c r="G69" s="59">
        <v>1</v>
      </c>
      <c r="J69" s="138" t="s">
        <v>89</v>
      </c>
      <c r="K69" s="139">
        <v>21114.400000000001</v>
      </c>
      <c r="L69" s="139">
        <v>21114.400000000001</v>
      </c>
      <c r="M69" s="139">
        <v>0</v>
      </c>
      <c r="N69" s="139">
        <v>0.93</v>
      </c>
      <c r="O69" s="139">
        <v>1059</v>
      </c>
      <c r="P69" s="140">
        <v>1</v>
      </c>
      <c r="Q69" s="11"/>
      <c r="R69" s="147" t="s">
        <v>101</v>
      </c>
      <c r="S69" s="148">
        <v>26188.799999999999</v>
      </c>
      <c r="T69" s="148">
        <v>26188.799999999999</v>
      </c>
      <c r="U69" s="148">
        <v>0</v>
      </c>
      <c r="V69" s="148">
        <v>2.5299999999999998</v>
      </c>
      <c r="W69" s="148">
        <v>3807</v>
      </c>
      <c r="X69" s="149">
        <v>1</v>
      </c>
      <c r="Z69" s="156" t="s">
        <v>113</v>
      </c>
      <c r="AA69" s="157">
        <v>38611.199999999997</v>
      </c>
      <c r="AB69" s="157">
        <v>38611.199999999997</v>
      </c>
      <c r="AC69" s="157">
        <v>0</v>
      </c>
      <c r="AD69" s="157">
        <v>8.15</v>
      </c>
      <c r="AE69" s="157">
        <v>3473</v>
      </c>
      <c r="AF69" s="158">
        <v>1</v>
      </c>
    </row>
    <row r="70" spans="1:32" ht="15.75" thickBot="1" x14ac:dyDescent="0.3">
      <c r="A70" s="57" t="s">
        <v>75</v>
      </c>
      <c r="B70" s="58">
        <v>30515.4</v>
      </c>
      <c r="C70" s="58">
        <v>30515.4</v>
      </c>
      <c r="D70" s="58">
        <v>0</v>
      </c>
      <c r="E70" s="58">
        <v>17.03</v>
      </c>
      <c r="F70" s="58">
        <v>20076</v>
      </c>
      <c r="G70" s="59">
        <v>1</v>
      </c>
      <c r="J70" s="141" t="s">
        <v>90</v>
      </c>
      <c r="K70" s="142">
        <v>26162.799999999999</v>
      </c>
      <c r="L70" s="142">
        <v>26162.799999999999</v>
      </c>
      <c r="M70" s="142">
        <v>0</v>
      </c>
      <c r="N70" s="142">
        <v>1.94</v>
      </c>
      <c r="O70" s="142">
        <v>2673</v>
      </c>
      <c r="P70" s="143">
        <v>1</v>
      </c>
      <c r="Q70" s="11"/>
      <c r="R70" s="150" t="s">
        <v>102</v>
      </c>
      <c r="S70" s="151">
        <v>29504.400000000001</v>
      </c>
      <c r="T70" s="151">
        <v>29504.400000000001</v>
      </c>
      <c r="U70" s="151">
        <v>0</v>
      </c>
      <c r="V70" s="151">
        <v>4.5</v>
      </c>
      <c r="W70" s="151">
        <v>3967</v>
      </c>
      <c r="X70" s="152">
        <v>1</v>
      </c>
      <c r="Z70" s="159" t="s">
        <v>114</v>
      </c>
      <c r="AA70" s="160">
        <v>39826.199999999997</v>
      </c>
      <c r="AB70" s="160">
        <v>39826.199999999997</v>
      </c>
      <c r="AC70" s="160">
        <v>0</v>
      </c>
      <c r="AD70" s="160">
        <v>6.92</v>
      </c>
      <c r="AE70" s="160">
        <v>3065</v>
      </c>
      <c r="AF70" s="161">
        <v>1</v>
      </c>
    </row>
    <row r="71" spans="1:32" ht="15.75" thickBot="1" x14ac:dyDescent="0.3">
      <c r="A71" s="57" t="s">
        <v>76</v>
      </c>
      <c r="B71" s="58">
        <v>28758.400000000001</v>
      </c>
      <c r="C71" s="58">
        <v>28758.400000000001</v>
      </c>
      <c r="D71" s="58">
        <v>0</v>
      </c>
      <c r="E71" s="58">
        <v>122.25</v>
      </c>
      <c r="F71" s="58">
        <v>153921</v>
      </c>
      <c r="G71" s="59">
        <v>1</v>
      </c>
      <c r="J71" s="170" t="s">
        <v>136</v>
      </c>
      <c r="K71" s="171">
        <f>AVERAGE(K59:K70)</f>
        <v>20334.816666666666</v>
      </c>
      <c r="L71" s="171">
        <f t="shared" ref="L71:O71" si="7">AVERAGE(L59:L70)</f>
        <v>20334.816666666666</v>
      </c>
      <c r="M71" s="171">
        <f t="shared" si="7"/>
        <v>0</v>
      </c>
      <c r="N71" s="171">
        <f t="shared" si="7"/>
        <v>1.9366666666666668</v>
      </c>
      <c r="O71" s="171">
        <f t="shared" si="7"/>
        <v>1877.75</v>
      </c>
      <c r="P71" s="172">
        <f>SUM(P59:Q70)</f>
        <v>12</v>
      </c>
      <c r="Q71" s="11"/>
      <c r="R71" s="170" t="s">
        <v>135</v>
      </c>
      <c r="S71" s="171">
        <f>AVERAGE(S59:S70)</f>
        <v>24661.75</v>
      </c>
      <c r="T71" s="171">
        <f t="shared" ref="T71:W71" si="8">AVERAGE(T59:T70)</f>
        <v>24661.748333333337</v>
      </c>
      <c r="U71" s="171">
        <f t="shared" si="8"/>
        <v>0</v>
      </c>
      <c r="V71" s="171">
        <f t="shared" si="8"/>
        <v>3.5666666666666664</v>
      </c>
      <c r="W71" s="171">
        <f t="shared" si="8"/>
        <v>2583.5833333333335</v>
      </c>
      <c r="X71" s="172">
        <f>SUM(X59:X70)</f>
        <v>12</v>
      </c>
      <c r="Z71" s="170" t="s">
        <v>134</v>
      </c>
      <c r="AA71" s="171">
        <f>AVERAGE(AA59:AA70)</f>
        <v>36360.383333333339</v>
      </c>
      <c r="AB71" s="171">
        <f t="shared" ref="AB71:AE71" si="9">AVERAGE(AB59:AB70)</f>
        <v>36360.383333333339</v>
      </c>
      <c r="AC71" s="171">
        <f t="shared" si="9"/>
        <v>0</v>
      </c>
      <c r="AD71" s="171">
        <f t="shared" si="9"/>
        <v>7.6791666666666671</v>
      </c>
      <c r="AE71" s="171">
        <f t="shared" si="9"/>
        <v>4508.416666666667</v>
      </c>
      <c r="AF71" s="172">
        <f>SUM(AF59:AF70)</f>
        <v>12</v>
      </c>
    </row>
    <row r="72" spans="1:32" x14ac:dyDescent="0.25">
      <c r="A72" s="57" t="s">
        <v>77</v>
      </c>
      <c r="B72" s="58">
        <v>29864.6</v>
      </c>
      <c r="C72" s="58">
        <v>29864.6</v>
      </c>
      <c r="D72" s="58">
        <v>0</v>
      </c>
      <c r="E72" s="58">
        <v>14.86</v>
      </c>
      <c r="F72" s="58">
        <v>12832</v>
      </c>
      <c r="G72" s="59">
        <v>1</v>
      </c>
      <c r="K72" s="11"/>
      <c r="L72" s="11"/>
      <c r="M72" s="11"/>
      <c r="N72" s="11"/>
      <c r="O72" s="11"/>
      <c r="P72" s="11"/>
      <c r="Q72" s="11"/>
      <c r="R72" s="11"/>
      <c r="S72" s="11"/>
    </row>
    <row r="73" spans="1:32" ht="15.75" thickBot="1" x14ac:dyDescent="0.3">
      <c r="A73" s="60" t="s">
        <v>78</v>
      </c>
      <c r="B73" s="61">
        <v>28195.200000000001</v>
      </c>
      <c r="C73" s="61">
        <v>28195.200000000001</v>
      </c>
      <c r="D73" s="61">
        <v>0</v>
      </c>
      <c r="E73" s="61">
        <v>54.97</v>
      </c>
      <c r="F73" s="61">
        <v>76656</v>
      </c>
      <c r="G73" s="62">
        <v>1</v>
      </c>
      <c r="K73" s="11"/>
      <c r="L73" s="11"/>
      <c r="M73" s="11"/>
      <c r="N73" s="11"/>
      <c r="O73" s="11"/>
      <c r="P73" s="11"/>
      <c r="Q73" s="11"/>
      <c r="R73" s="11"/>
      <c r="S73" s="11"/>
    </row>
    <row r="74" spans="1:32" x14ac:dyDescent="0.25">
      <c r="A74" s="63" t="s">
        <v>79</v>
      </c>
      <c r="B74" s="64">
        <v>14443.4</v>
      </c>
      <c r="C74" s="64">
        <v>14443.4</v>
      </c>
      <c r="D74" s="64">
        <v>0</v>
      </c>
      <c r="E74" s="64">
        <v>0.46</v>
      </c>
      <c r="F74" s="64">
        <v>119</v>
      </c>
      <c r="G74" s="65">
        <v>1</v>
      </c>
      <c r="K74" s="11"/>
      <c r="L74" s="11"/>
      <c r="M74" s="11"/>
      <c r="N74" s="11"/>
      <c r="O74" s="11"/>
      <c r="P74" s="11"/>
      <c r="Q74" s="11"/>
      <c r="R74" s="11"/>
      <c r="S74" s="11"/>
    </row>
    <row r="75" spans="1:32" x14ac:dyDescent="0.25">
      <c r="A75" s="66" t="s">
        <v>80</v>
      </c>
      <c r="B75" s="67">
        <v>18364</v>
      </c>
      <c r="C75" s="67">
        <v>18364</v>
      </c>
      <c r="D75" s="67">
        <v>0</v>
      </c>
      <c r="E75" s="67">
        <v>2.15</v>
      </c>
      <c r="F75" s="67">
        <v>2599</v>
      </c>
      <c r="G75" s="68">
        <v>1</v>
      </c>
      <c r="K75" s="11"/>
      <c r="L75" s="11"/>
      <c r="M75" s="11"/>
      <c r="N75" s="11"/>
      <c r="O75" s="11"/>
      <c r="P75" s="11"/>
      <c r="Q75" s="11"/>
      <c r="R75" s="11"/>
      <c r="S75" s="11"/>
    </row>
    <row r="76" spans="1:32" x14ac:dyDescent="0.25">
      <c r="A76" s="66" t="s">
        <v>81</v>
      </c>
      <c r="B76" s="67">
        <v>14954</v>
      </c>
      <c r="C76" s="67">
        <v>14954</v>
      </c>
      <c r="D76" s="67">
        <v>0</v>
      </c>
      <c r="E76" s="67">
        <v>0.5</v>
      </c>
      <c r="F76" s="67">
        <v>239</v>
      </c>
      <c r="G76" s="68">
        <v>1</v>
      </c>
      <c r="K76" s="11"/>
      <c r="L76" s="11"/>
      <c r="M76" s="11"/>
      <c r="N76" s="11"/>
      <c r="O76" s="11"/>
      <c r="P76" s="11"/>
      <c r="Q76" s="11"/>
      <c r="R76" s="11"/>
      <c r="S76" s="11"/>
    </row>
    <row r="77" spans="1:32" x14ac:dyDescent="0.25">
      <c r="A77" s="66" t="s">
        <v>82</v>
      </c>
      <c r="B77" s="67">
        <v>17857.8</v>
      </c>
      <c r="C77" s="67">
        <v>17857.8</v>
      </c>
      <c r="D77" s="67">
        <v>0</v>
      </c>
      <c r="E77" s="67">
        <v>0.55000000000000004</v>
      </c>
      <c r="F77" s="67">
        <v>303</v>
      </c>
      <c r="G77" s="68">
        <v>1</v>
      </c>
      <c r="K77" s="11"/>
      <c r="L77" s="11"/>
      <c r="M77" s="11"/>
      <c r="N77" s="11"/>
      <c r="O77" s="11"/>
      <c r="P77" s="11"/>
      <c r="Q77" s="11"/>
      <c r="R77" s="11"/>
      <c r="S77" s="11"/>
    </row>
    <row r="78" spans="1:32" x14ac:dyDescent="0.25">
      <c r="A78" s="66" t="s">
        <v>83</v>
      </c>
      <c r="B78" s="67">
        <v>18546</v>
      </c>
      <c r="C78" s="67">
        <v>18546</v>
      </c>
      <c r="D78" s="67">
        <v>0</v>
      </c>
      <c r="E78" s="67">
        <v>0.83</v>
      </c>
      <c r="F78" s="67">
        <v>648</v>
      </c>
      <c r="G78" s="68">
        <v>1</v>
      </c>
      <c r="K78" s="11"/>
      <c r="L78" s="11"/>
      <c r="M78" s="11"/>
      <c r="N78" s="11"/>
      <c r="O78" s="11"/>
      <c r="P78" s="11"/>
      <c r="Q78" s="11"/>
      <c r="R78" s="11"/>
      <c r="S78" s="11"/>
    </row>
    <row r="79" spans="1:32" x14ac:dyDescent="0.25">
      <c r="A79" s="66" t="s">
        <v>84</v>
      </c>
      <c r="B79" s="67">
        <v>23069.5</v>
      </c>
      <c r="C79" s="67">
        <v>23069.5</v>
      </c>
      <c r="D79" s="67">
        <v>0</v>
      </c>
      <c r="E79" s="67">
        <v>5.98</v>
      </c>
      <c r="F79" s="67">
        <v>5839</v>
      </c>
      <c r="G79" s="68">
        <v>1</v>
      </c>
      <c r="K79" s="11"/>
      <c r="L79" s="11"/>
      <c r="M79" s="11"/>
      <c r="N79" s="11"/>
      <c r="O79" s="11"/>
      <c r="P79" s="11"/>
      <c r="Q79" s="11"/>
      <c r="R79" s="11"/>
      <c r="S79" s="11"/>
    </row>
    <row r="80" spans="1:32" x14ac:dyDescent="0.25">
      <c r="A80" s="66" t="s">
        <v>85</v>
      </c>
      <c r="B80" s="67">
        <v>18657.5</v>
      </c>
      <c r="C80" s="67">
        <v>18657.5</v>
      </c>
      <c r="D80" s="67">
        <v>0</v>
      </c>
      <c r="E80" s="67">
        <v>1.03</v>
      </c>
      <c r="F80" s="67">
        <v>1236</v>
      </c>
      <c r="G80" s="68">
        <v>1</v>
      </c>
      <c r="K80" s="11"/>
      <c r="L80" s="11"/>
      <c r="M80" s="11"/>
      <c r="N80" s="11"/>
      <c r="O80" s="11"/>
      <c r="P80" s="11"/>
      <c r="Q80" s="11"/>
      <c r="R80" s="11"/>
      <c r="S80" s="11"/>
    </row>
    <row r="81" spans="1:19" x14ac:dyDescent="0.25">
      <c r="A81" s="66" t="s">
        <v>86</v>
      </c>
      <c r="B81" s="67">
        <v>23329</v>
      </c>
      <c r="C81" s="67">
        <v>23329</v>
      </c>
      <c r="D81" s="67">
        <v>0</v>
      </c>
      <c r="E81" s="67">
        <v>3.21</v>
      </c>
      <c r="F81" s="67">
        <v>2182</v>
      </c>
      <c r="G81" s="68">
        <v>1</v>
      </c>
      <c r="K81" s="11"/>
      <c r="L81" s="11"/>
      <c r="M81" s="11"/>
      <c r="N81" s="11"/>
      <c r="O81" s="11"/>
      <c r="P81" s="11"/>
      <c r="Q81" s="11"/>
      <c r="R81" s="11"/>
      <c r="S81" s="11"/>
    </row>
    <row r="82" spans="1:19" x14ac:dyDescent="0.25">
      <c r="A82" s="66" t="s">
        <v>87</v>
      </c>
      <c r="B82" s="67">
        <v>20999.8</v>
      </c>
      <c r="C82" s="67">
        <v>20999.8</v>
      </c>
      <c r="D82" s="67">
        <v>0</v>
      </c>
      <c r="E82" s="67">
        <v>0.9</v>
      </c>
      <c r="F82" s="67">
        <v>1095</v>
      </c>
      <c r="G82" s="68">
        <v>1</v>
      </c>
      <c r="K82" s="11"/>
      <c r="L82" s="11"/>
      <c r="M82" s="11"/>
      <c r="N82" s="11"/>
      <c r="O82" s="11"/>
      <c r="P82" s="11"/>
      <c r="Q82" s="11"/>
      <c r="R82" s="11"/>
      <c r="S82" s="11"/>
    </row>
    <row r="83" spans="1:19" x14ac:dyDescent="0.25">
      <c r="A83" s="66" t="s">
        <v>88</v>
      </c>
      <c r="B83" s="67">
        <v>26519.599999999999</v>
      </c>
      <c r="C83" s="67">
        <v>26519.599999999999</v>
      </c>
      <c r="D83" s="67">
        <v>0</v>
      </c>
      <c r="E83" s="67">
        <v>4.76</v>
      </c>
      <c r="F83" s="67">
        <v>4541</v>
      </c>
      <c r="G83" s="68">
        <v>1</v>
      </c>
      <c r="K83" s="11"/>
      <c r="L83" s="11"/>
      <c r="M83" s="11"/>
      <c r="N83" s="11"/>
      <c r="O83" s="11"/>
      <c r="P83" s="11"/>
      <c r="Q83" s="11"/>
      <c r="R83" s="11"/>
      <c r="S83" s="11"/>
    </row>
    <row r="84" spans="1:19" x14ac:dyDescent="0.25">
      <c r="A84" s="66" t="s">
        <v>89</v>
      </c>
      <c r="B84" s="67">
        <v>21114.400000000001</v>
      </c>
      <c r="C84" s="67">
        <v>21114.400000000001</v>
      </c>
      <c r="D84" s="67">
        <v>0</v>
      </c>
      <c r="E84" s="67">
        <v>0.93</v>
      </c>
      <c r="F84" s="67">
        <v>1059</v>
      </c>
      <c r="G84" s="68">
        <v>1</v>
      </c>
      <c r="K84" s="11"/>
      <c r="L84" s="11"/>
      <c r="M84" s="11"/>
      <c r="N84" s="11"/>
      <c r="O84" s="11"/>
      <c r="P84" s="11"/>
      <c r="Q84" s="11"/>
      <c r="R84" s="11"/>
      <c r="S84" s="11"/>
    </row>
    <row r="85" spans="1:19" ht="15.75" thickBot="1" x14ac:dyDescent="0.3">
      <c r="A85" s="69" t="s">
        <v>90</v>
      </c>
      <c r="B85" s="70">
        <v>26162.799999999999</v>
      </c>
      <c r="C85" s="70">
        <v>26162.799999999999</v>
      </c>
      <c r="D85" s="70">
        <v>0</v>
      </c>
      <c r="E85" s="70">
        <v>1.94</v>
      </c>
      <c r="F85" s="70">
        <v>2673</v>
      </c>
      <c r="G85" s="71">
        <v>1</v>
      </c>
      <c r="K85" s="11"/>
      <c r="L85" s="11"/>
      <c r="M85" s="11"/>
      <c r="N85" s="11"/>
      <c r="O85" s="11"/>
      <c r="P85" s="11"/>
      <c r="Q85" s="11"/>
      <c r="R85" s="11"/>
      <c r="S85" s="11"/>
    </row>
    <row r="86" spans="1:19" x14ac:dyDescent="0.25">
      <c r="A86" s="72" t="s">
        <v>91</v>
      </c>
      <c r="B86" s="73">
        <v>19646</v>
      </c>
      <c r="C86" s="73">
        <v>19646</v>
      </c>
      <c r="D86" s="73">
        <v>0</v>
      </c>
      <c r="E86" s="73">
        <v>1.63</v>
      </c>
      <c r="F86" s="73">
        <v>1108</v>
      </c>
      <c r="G86" s="74">
        <v>1</v>
      </c>
      <c r="K86" s="11"/>
      <c r="L86" s="11"/>
      <c r="M86" s="11"/>
      <c r="N86" s="11"/>
      <c r="O86" s="11"/>
      <c r="P86" s="11"/>
      <c r="Q86" s="11"/>
      <c r="R86" s="11"/>
      <c r="S86" s="11"/>
    </row>
    <row r="87" spans="1:19" x14ac:dyDescent="0.25">
      <c r="A87" s="75" t="s">
        <v>92</v>
      </c>
      <c r="B87" s="76">
        <v>22567.599999999999</v>
      </c>
      <c r="C87" s="76">
        <v>22567.599999999999</v>
      </c>
      <c r="D87" s="76">
        <v>0</v>
      </c>
      <c r="E87" s="76">
        <v>4.33</v>
      </c>
      <c r="F87" s="76">
        <v>1282</v>
      </c>
      <c r="G87" s="77">
        <v>1</v>
      </c>
      <c r="K87" s="11"/>
      <c r="L87" s="11"/>
      <c r="M87" s="11"/>
      <c r="N87" s="11"/>
      <c r="O87" s="11"/>
      <c r="P87" s="11"/>
      <c r="Q87" s="11"/>
      <c r="R87" s="11"/>
      <c r="S87" s="11"/>
    </row>
    <row r="88" spans="1:19" x14ac:dyDescent="0.25">
      <c r="A88" s="75" t="s">
        <v>93</v>
      </c>
      <c r="B88" s="76">
        <v>19880.400000000001</v>
      </c>
      <c r="C88" s="76">
        <v>19880.400000000001</v>
      </c>
      <c r="D88" s="76">
        <v>0</v>
      </c>
      <c r="E88" s="76">
        <v>2.42</v>
      </c>
      <c r="F88" s="76">
        <v>1447</v>
      </c>
      <c r="G88" s="77">
        <v>1</v>
      </c>
      <c r="K88" s="11"/>
      <c r="L88" s="11"/>
      <c r="M88" s="11"/>
      <c r="N88" s="11"/>
      <c r="O88" s="11"/>
      <c r="P88" s="11"/>
      <c r="Q88" s="11"/>
      <c r="R88" s="11"/>
      <c r="S88" s="11"/>
    </row>
    <row r="89" spans="1:19" x14ac:dyDescent="0.25">
      <c r="A89" s="75" t="s">
        <v>94</v>
      </c>
      <c r="B89" s="76">
        <v>22483.8</v>
      </c>
      <c r="C89" s="76">
        <v>22483.78</v>
      </c>
      <c r="D89" s="76">
        <v>0</v>
      </c>
      <c r="E89" s="76">
        <v>3.33</v>
      </c>
      <c r="F89" s="76">
        <v>1155</v>
      </c>
      <c r="G89" s="77">
        <v>1</v>
      </c>
      <c r="K89" s="11"/>
      <c r="L89" s="11"/>
      <c r="M89" s="11"/>
      <c r="N89" s="11"/>
      <c r="O89" s="11"/>
      <c r="P89" s="11"/>
      <c r="Q89" s="11"/>
      <c r="R89" s="11"/>
      <c r="S89" s="11"/>
    </row>
    <row r="90" spans="1:19" x14ac:dyDescent="0.25">
      <c r="A90" s="75" t="s">
        <v>95</v>
      </c>
      <c r="B90" s="76">
        <v>23013.5</v>
      </c>
      <c r="C90" s="76">
        <v>23013.5</v>
      </c>
      <c r="D90" s="76">
        <v>0</v>
      </c>
      <c r="E90" s="76">
        <v>3.11</v>
      </c>
      <c r="F90" s="76">
        <v>1949</v>
      </c>
      <c r="G90" s="77">
        <v>1</v>
      </c>
      <c r="K90" s="11"/>
      <c r="L90" s="11"/>
      <c r="M90" s="11"/>
      <c r="N90" s="11"/>
      <c r="O90" s="11"/>
      <c r="P90" s="11"/>
      <c r="Q90" s="11"/>
      <c r="R90" s="11"/>
      <c r="S90" s="11"/>
    </row>
    <row r="91" spans="1:19" x14ac:dyDescent="0.25">
      <c r="A91" s="75" t="s">
        <v>96</v>
      </c>
      <c r="B91" s="76">
        <v>27076</v>
      </c>
      <c r="C91" s="76">
        <v>27076</v>
      </c>
      <c r="D91" s="76">
        <v>0</v>
      </c>
      <c r="E91" s="76">
        <v>5.29</v>
      </c>
      <c r="F91" s="76">
        <v>2878</v>
      </c>
      <c r="G91" s="77">
        <v>1</v>
      </c>
      <c r="K91" s="11"/>
      <c r="L91" s="11"/>
      <c r="M91" s="11"/>
      <c r="N91" s="11"/>
      <c r="O91" s="11"/>
      <c r="P91" s="11"/>
      <c r="Q91" s="11"/>
      <c r="R91" s="11"/>
      <c r="S91" s="11"/>
    </row>
    <row r="92" spans="1:19" x14ac:dyDescent="0.25">
      <c r="A92" s="75" t="s">
        <v>97</v>
      </c>
      <c r="B92" s="76">
        <v>22706.5</v>
      </c>
      <c r="C92" s="76">
        <v>22706.5</v>
      </c>
      <c r="D92" s="76">
        <v>0</v>
      </c>
      <c r="E92" s="76">
        <v>1.58</v>
      </c>
      <c r="F92" s="76">
        <v>1425</v>
      </c>
      <c r="G92" s="77">
        <v>1</v>
      </c>
      <c r="K92" s="11"/>
      <c r="L92" s="11"/>
      <c r="M92" s="11"/>
      <c r="N92" s="11"/>
      <c r="O92" s="11"/>
      <c r="P92" s="11"/>
      <c r="Q92" s="11"/>
      <c r="R92" s="11"/>
      <c r="S92" s="11"/>
    </row>
    <row r="93" spans="1:19" x14ac:dyDescent="0.25">
      <c r="A93" s="75" t="s">
        <v>98</v>
      </c>
      <c r="B93" s="76">
        <v>26754</v>
      </c>
      <c r="C93" s="76">
        <v>26754</v>
      </c>
      <c r="D93" s="76">
        <v>0</v>
      </c>
      <c r="E93" s="76">
        <v>4.96</v>
      </c>
      <c r="F93" s="76">
        <v>4256</v>
      </c>
      <c r="G93" s="77">
        <v>1</v>
      </c>
      <c r="K93" s="11"/>
      <c r="L93" s="11"/>
      <c r="M93" s="11"/>
      <c r="N93" s="11"/>
      <c r="O93" s="11"/>
      <c r="P93" s="11"/>
      <c r="Q93" s="11"/>
      <c r="R93" s="11"/>
      <c r="S93" s="11"/>
    </row>
    <row r="94" spans="1:19" x14ac:dyDescent="0.25">
      <c r="A94" s="75" t="s">
        <v>99</v>
      </c>
      <c r="B94" s="76">
        <v>25890.799999999999</v>
      </c>
      <c r="C94" s="76">
        <v>25890.799999999999</v>
      </c>
      <c r="D94" s="76">
        <v>0</v>
      </c>
      <c r="E94" s="76">
        <v>2.65</v>
      </c>
      <c r="F94" s="76">
        <v>1342</v>
      </c>
      <c r="G94" s="77">
        <v>1</v>
      </c>
      <c r="K94" s="11"/>
      <c r="L94" s="11"/>
      <c r="M94" s="11"/>
      <c r="N94" s="11"/>
      <c r="O94" s="11"/>
      <c r="P94" s="11"/>
      <c r="Q94" s="11"/>
      <c r="R94" s="11"/>
      <c r="S94" s="11"/>
    </row>
    <row r="95" spans="1:19" x14ac:dyDescent="0.25">
      <c r="A95" s="75" t="s">
        <v>100</v>
      </c>
      <c r="B95" s="76">
        <v>30229.200000000001</v>
      </c>
      <c r="C95" s="76">
        <v>30229.200000000001</v>
      </c>
      <c r="D95" s="76">
        <v>0</v>
      </c>
      <c r="E95" s="76">
        <v>6.47</v>
      </c>
      <c r="F95" s="76">
        <v>6387</v>
      </c>
      <c r="G95" s="77">
        <v>1</v>
      </c>
      <c r="K95" s="11"/>
      <c r="L95" s="11"/>
      <c r="M95" s="11"/>
      <c r="N95" s="11"/>
      <c r="O95" s="11"/>
      <c r="P95" s="11"/>
      <c r="Q95" s="11"/>
      <c r="R95" s="11"/>
      <c r="S95" s="11"/>
    </row>
    <row r="96" spans="1:19" x14ac:dyDescent="0.25">
      <c r="A96" s="75" t="s">
        <v>101</v>
      </c>
      <c r="B96" s="76">
        <v>26188.799999999999</v>
      </c>
      <c r="C96" s="76">
        <v>26188.799999999999</v>
      </c>
      <c r="D96" s="76">
        <v>0</v>
      </c>
      <c r="E96" s="76">
        <v>2.5299999999999998</v>
      </c>
      <c r="F96" s="76">
        <v>3807</v>
      </c>
      <c r="G96" s="77">
        <v>1</v>
      </c>
      <c r="K96" s="11"/>
      <c r="L96" s="11"/>
      <c r="M96" s="11"/>
      <c r="N96" s="11"/>
      <c r="O96" s="11"/>
      <c r="P96" s="11"/>
      <c r="Q96" s="11"/>
      <c r="R96" s="11"/>
      <c r="S96" s="11"/>
    </row>
    <row r="97" spans="1:19" ht="15.75" thickBot="1" x14ac:dyDescent="0.3">
      <c r="A97" s="78" t="s">
        <v>102</v>
      </c>
      <c r="B97" s="79">
        <v>29504.400000000001</v>
      </c>
      <c r="C97" s="79">
        <v>29504.400000000001</v>
      </c>
      <c r="D97" s="79">
        <v>0</v>
      </c>
      <c r="E97" s="79">
        <v>4.5</v>
      </c>
      <c r="F97" s="79">
        <v>3967</v>
      </c>
      <c r="G97" s="80">
        <v>1</v>
      </c>
      <c r="K97" s="11"/>
      <c r="L97" s="11"/>
      <c r="M97" s="11"/>
      <c r="N97" s="11"/>
      <c r="O97" s="11"/>
      <c r="P97" s="11"/>
      <c r="Q97" s="11"/>
      <c r="R97" s="11"/>
      <c r="S97" s="11"/>
    </row>
    <row r="98" spans="1:19" x14ac:dyDescent="0.25">
      <c r="A98" s="81" t="s">
        <v>103</v>
      </c>
      <c r="B98" s="82">
        <v>32952.400000000001</v>
      </c>
      <c r="C98" s="82">
        <v>32952.400000000001</v>
      </c>
      <c r="D98" s="82">
        <v>0</v>
      </c>
      <c r="E98" s="82">
        <v>5.01</v>
      </c>
      <c r="F98" s="82">
        <v>996</v>
      </c>
      <c r="G98" s="83">
        <v>1</v>
      </c>
      <c r="K98" s="11"/>
      <c r="L98" s="11"/>
      <c r="M98" s="11"/>
      <c r="N98" s="11"/>
      <c r="O98" s="11"/>
      <c r="P98" s="11"/>
      <c r="Q98" s="11"/>
      <c r="R98" s="11"/>
      <c r="S98" s="11"/>
    </row>
    <row r="99" spans="1:19" x14ac:dyDescent="0.25">
      <c r="A99" s="84" t="s">
        <v>104</v>
      </c>
      <c r="B99" s="85">
        <v>33332.199999999997</v>
      </c>
      <c r="C99" s="85">
        <v>33332.199999999997</v>
      </c>
      <c r="D99" s="85">
        <v>0</v>
      </c>
      <c r="E99" s="85">
        <v>4.87</v>
      </c>
      <c r="F99" s="85">
        <v>2097</v>
      </c>
      <c r="G99" s="86">
        <v>1</v>
      </c>
      <c r="K99" s="11"/>
      <c r="L99" s="11"/>
      <c r="M99" s="11"/>
      <c r="N99" s="11"/>
      <c r="O99" s="11"/>
      <c r="P99" s="11"/>
      <c r="Q99" s="11"/>
      <c r="R99" s="11"/>
      <c r="S99" s="11"/>
    </row>
    <row r="100" spans="1:19" x14ac:dyDescent="0.25">
      <c r="A100" s="84" t="s">
        <v>105</v>
      </c>
      <c r="B100" s="85">
        <v>33072.400000000001</v>
      </c>
      <c r="C100" s="85">
        <v>33072.400000000001</v>
      </c>
      <c r="D100" s="85">
        <v>0</v>
      </c>
      <c r="E100" s="85">
        <v>4.74</v>
      </c>
      <c r="F100" s="85">
        <v>1521</v>
      </c>
      <c r="G100" s="86">
        <v>1</v>
      </c>
      <c r="K100" s="11"/>
      <c r="L100" s="11"/>
      <c r="M100" s="11"/>
      <c r="N100" s="11"/>
      <c r="O100" s="11"/>
      <c r="P100" s="11"/>
      <c r="Q100" s="11"/>
      <c r="R100" s="11"/>
      <c r="S100" s="11"/>
    </row>
    <row r="101" spans="1:19" x14ac:dyDescent="0.25">
      <c r="A101" s="84" t="s">
        <v>106</v>
      </c>
      <c r="B101" s="85">
        <v>33115</v>
      </c>
      <c r="C101" s="85">
        <v>33115</v>
      </c>
      <c r="D101" s="85">
        <v>0</v>
      </c>
      <c r="E101" s="85">
        <v>4.49</v>
      </c>
      <c r="F101" s="85">
        <v>2118</v>
      </c>
      <c r="G101" s="86">
        <v>1</v>
      </c>
      <c r="K101" s="11"/>
      <c r="L101" s="11"/>
      <c r="M101" s="11"/>
      <c r="N101" s="11"/>
      <c r="O101" s="11"/>
      <c r="P101" s="11"/>
      <c r="Q101" s="11"/>
      <c r="R101" s="11"/>
      <c r="S101" s="11"/>
    </row>
    <row r="102" spans="1:19" x14ac:dyDescent="0.25">
      <c r="A102" s="84" t="s">
        <v>107</v>
      </c>
      <c r="B102" s="85">
        <v>36286</v>
      </c>
      <c r="C102" s="85">
        <v>36286</v>
      </c>
      <c r="D102" s="85">
        <v>0</v>
      </c>
      <c r="E102" s="85">
        <v>5.69</v>
      </c>
      <c r="F102" s="85">
        <v>2346</v>
      </c>
      <c r="G102" s="86">
        <v>1</v>
      </c>
      <c r="K102" s="11"/>
      <c r="L102" s="11"/>
      <c r="M102" s="11"/>
      <c r="N102" s="11"/>
      <c r="O102" s="11"/>
      <c r="P102" s="11"/>
      <c r="Q102" s="11"/>
      <c r="R102" s="11"/>
      <c r="S102" s="11"/>
    </row>
    <row r="103" spans="1:19" x14ac:dyDescent="0.25">
      <c r="A103" s="84" t="s">
        <v>108</v>
      </c>
      <c r="B103" s="85">
        <v>37205.5</v>
      </c>
      <c r="C103" s="85">
        <v>37205.5</v>
      </c>
      <c r="D103" s="85">
        <v>0</v>
      </c>
      <c r="E103" s="85">
        <v>10.55</v>
      </c>
      <c r="F103" s="85">
        <v>5179</v>
      </c>
      <c r="G103" s="86">
        <v>1</v>
      </c>
      <c r="K103" s="11"/>
      <c r="L103" s="11"/>
      <c r="M103" s="11"/>
      <c r="N103" s="11"/>
      <c r="O103" s="11"/>
      <c r="P103" s="11"/>
      <c r="Q103" s="11"/>
      <c r="R103" s="11"/>
      <c r="S103" s="11"/>
    </row>
    <row r="104" spans="1:19" x14ac:dyDescent="0.25">
      <c r="A104" s="84" t="s">
        <v>109</v>
      </c>
      <c r="B104" s="85">
        <v>36173.5</v>
      </c>
      <c r="C104" s="85">
        <v>36173.5</v>
      </c>
      <c r="D104" s="85">
        <v>0</v>
      </c>
      <c r="E104" s="85">
        <v>4.22</v>
      </c>
      <c r="F104" s="85">
        <v>1170</v>
      </c>
      <c r="G104" s="86">
        <v>1</v>
      </c>
      <c r="K104" s="11"/>
      <c r="L104" s="11"/>
      <c r="M104" s="11"/>
      <c r="N104" s="11"/>
      <c r="O104" s="11"/>
      <c r="P104" s="11"/>
      <c r="Q104" s="11"/>
      <c r="R104" s="11"/>
      <c r="S104" s="11"/>
    </row>
    <row r="105" spans="1:19" x14ac:dyDescent="0.25">
      <c r="A105" s="84" t="s">
        <v>110</v>
      </c>
      <c r="B105" s="85">
        <v>36817</v>
      </c>
      <c r="C105" s="85">
        <v>36817</v>
      </c>
      <c r="D105" s="85">
        <v>0</v>
      </c>
      <c r="E105" s="85">
        <v>10.119999999999999</v>
      </c>
      <c r="F105" s="85">
        <v>7039</v>
      </c>
      <c r="G105" s="86">
        <v>1</v>
      </c>
    </row>
    <row r="106" spans="1:19" x14ac:dyDescent="0.25">
      <c r="A106" s="84" t="s">
        <v>111</v>
      </c>
      <c r="B106" s="85">
        <v>38622.800000000003</v>
      </c>
      <c r="C106" s="85">
        <v>38622.800000000003</v>
      </c>
      <c r="D106" s="85">
        <v>0</v>
      </c>
      <c r="E106" s="85">
        <v>7.83</v>
      </c>
      <c r="F106" s="85">
        <v>2947</v>
      </c>
      <c r="G106" s="86">
        <v>1</v>
      </c>
    </row>
    <row r="107" spans="1:19" x14ac:dyDescent="0.25">
      <c r="A107" s="84" t="s">
        <v>112</v>
      </c>
      <c r="B107" s="85">
        <v>40310.400000000001</v>
      </c>
      <c r="C107" s="85">
        <v>40310.400000000001</v>
      </c>
      <c r="D107" s="85">
        <v>0</v>
      </c>
      <c r="E107" s="85">
        <v>19.559999999999999</v>
      </c>
      <c r="F107" s="85">
        <v>22150</v>
      </c>
      <c r="G107" s="86">
        <v>1</v>
      </c>
    </row>
    <row r="108" spans="1:19" x14ac:dyDescent="0.25">
      <c r="A108" s="84" t="s">
        <v>113</v>
      </c>
      <c r="B108" s="85">
        <v>38611.199999999997</v>
      </c>
      <c r="C108" s="85">
        <v>38611.199999999997</v>
      </c>
      <c r="D108" s="85">
        <v>0</v>
      </c>
      <c r="E108" s="85">
        <v>8.15</v>
      </c>
      <c r="F108" s="85">
        <v>3473</v>
      </c>
      <c r="G108" s="86">
        <v>1</v>
      </c>
    </row>
    <row r="109" spans="1:19" ht="15.75" thickBot="1" x14ac:dyDescent="0.3">
      <c r="A109" s="87" t="s">
        <v>114</v>
      </c>
      <c r="B109" s="88">
        <v>39826.199999999997</v>
      </c>
      <c r="C109" s="88">
        <v>39826.199999999997</v>
      </c>
      <c r="D109" s="88">
        <v>0</v>
      </c>
      <c r="E109" s="88">
        <v>6.92</v>
      </c>
      <c r="F109" s="88">
        <v>3065</v>
      </c>
      <c r="G109" s="89">
        <v>1</v>
      </c>
    </row>
    <row r="110" spans="1:19" x14ac:dyDescent="0.25">
      <c r="A110" s="12" t="s">
        <v>115</v>
      </c>
      <c r="B110" s="12">
        <v>20708.62</v>
      </c>
      <c r="C110" s="12">
        <v>20703.240000000002</v>
      </c>
      <c r="D110" s="12">
        <v>4.0000000000000002E-4</v>
      </c>
      <c r="E110" s="12">
        <v>42.25</v>
      </c>
      <c r="F110" s="12">
        <v>63193.69</v>
      </c>
      <c r="G110" s="12">
        <v>107</v>
      </c>
    </row>
    <row r="111" spans="1:19" x14ac:dyDescent="0.25">
      <c r="E111">
        <f>SUM(E2:E109)</f>
        <v>5671.1799999999976</v>
      </c>
    </row>
  </sheetData>
  <pageMargins left="0.75" right="0.75" top="1" bottom="1" header="0.5" footer="0.5"/>
  <pageSetup paperSize="9" orientation="portrait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AB7F5A-8A81-4F4D-8233-4F4FC258F599}">
  <dimension ref="B2:H12"/>
  <sheetViews>
    <sheetView workbookViewId="0">
      <selection activeCell="H12" sqref="H12"/>
    </sheetView>
  </sheetViews>
  <sheetFormatPr defaultRowHeight="15" x14ac:dyDescent="0.25"/>
  <cols>
    <col min="6" max="6" width="9.5703125" bestFit="1" customWidth="1"/>
  </cols>
  <sheetData>
    <row r="2" spans="2:8" x14ac:dyDescent="0.25">
      <c r="B2" s="176" t="s">
        <v>0</v>
      </c>
      <c r="C2" s="176" t="s">
        <v>1</v>
      </c>
      <c r="D2" s="176" t="s">
        <v>2</v>
      </c>
      <c r="E2" s="176" t="s">
        <v>3</v>
      </c>
      <c r="F2" s="176" t="s">
        <v>4</v>
      </c>
      <c r="G2" s="176" t="s">
        <v>5</v>
      </c>
      <c r="H2" s="176" t="s">
        <v>6</v>
      </c>
    </row>
    <row r="3" spans="2:8" x14ac:dyDescent="0.25">
      <c r="B3" s="177" t="s">
        <v>128</v>
      </c>
      <c r="C3" s="177">
        <v>9680.2000000000007</v>
      </c>
      <c r="D3" s="177">
        <v>9676.2866666666669</v>
      </c>
      <c r="E3" s="180">
        <v>3.6666666666666667E-4</v>
      </c>
      <c r="F3" s="181">
        <v>381.76833333333337</v>
      </c>
      <c r="G3" s="177">
        <v>466496.83333333331</v>
      </c>
      <c r="H3" s="177">
        <v>11</v>
      </c>
    </row>
    <row r="4" spans="2:8" x14ac:dyDescent="0.25">
      <c r="B4" s="177" t="s">
        <v>129</v>
      </c>
      <c r="C4" s="177">
        <v>13530.833333333334</v>
      </c>
      <c r="D4" s="177">
        <v>13530.819166666668</v>
      </c>
      <c r="E4" s="177">
        <v>0</v>
      </c>
      <c r="F4" s="181">
        <v>134.35833333333335</v>
      </c>
      <c r="G4" s="177">
        <v>202126.83333333334</v>
      </c>
      <c r="H4" s="177">
        <v>12</v>
      </c>
    </row>
    <row r="5" spans="2:8" x14ac:dyDescent="0.25">
      <c r="B5" s="177" t="s">
        <v>130</v>
      </c>
      <c r="C5" s="177">
        <v>24430.291666666668</v>
      </c>
      <c r="D5" s="177">
        <v>24430.198333333334</v>
      </c>
      <c r="E5" s="179">
        <v>8.3333333333333337E-6</v>
      </c>
      <c r="F5" s="181">
        <v>27.122500000000002</v>
      </c>
      <c r="G5" s="177">
        <v>34310.666666666664</v>
      </c>
      <c r="H5" s="177">
        <v>12</v>
      </c>
    </row>
    <row r="6" spans="2:8" x14ac:dyDescent="0.25">
      <c r="B6" s="177" t="s">
        <v>131</v>
      </c>
      <c r="C6" s="177">
        <v>12843.641666666665</v>
      </c>
      <c r="D6" s="177">
        <v>12843.641666666665</v>
      </c>
      <c r="E6" s="177">
        <v>0</v>
      </c>
      <c r="F6" s="181">
        <v>12.373333333333333</v>
      </c>
      <c r="G6" s="177">
        <v>20236.166666666668</v>
      </c>
      <c r="H6" s="177">
        <v>12</v>
      </c>
    </row>
    <row r="7" spans="2:8" x14ac:dyDescent="0.25">
      <c r="B7" s="177" t="s">
        <v>132</v>
      </c>
      <c r="C7" s="177">
        <v>16826.474999999999</v>
      </c>
      <c r="D7" s="177">
        <v>16826.408333333329</v>
      </c>
      <c r="E7" s="177">
        <v>0</v>
      </c>
      <c r="F7" s="181">
        <v>145.78749999999999</v>
      </c>
      <c r="G7" s="177">
        <v>75875</v>
      </c>
      <c r="H7" s="177">
        <v>12</v>
      </c>
    </row>
    <row r="8" spans="2:8" x14ac:dyDescent="0.25">
      <c r="B8" s="177" t="s">
        <v>133</v>
      </c>
      <c r="C8" s="177">
        <v>27706.899999999998</v>
      </c>
      <c r="D8" s="177">
        <v>27706.899999999998</v>
      </c>
      <c r="E8" s="177">
        <v>0</v>
      </c>
      <c r="F8" s="181">
        <v>33.005833333333335</v>
      </c>
      <c r="G8" s="177">
        <v>39714.5</v>
      </c>
      <c r="H8" s="177">
        <v>12</v>
      </c>
    </row>
    <row r="9" spans="2:8" x14ac:dyDescent="0.25">
      <c r="B9" s="177" t="s">
        <v>136</v>
      </c>
      <c r="C9" s="177">
        <v>20334.816666666666</v>
      </c>
      <c r="D9" s="177">
        <v>20334.816666666666</v>
      </c>
      <c r="E9" s="177">
        <v>0</v>
      </c>
      <c r="F9" s="181">
        <v>1.9366666666666668</v>
      </c>
      <c r="G9" s="177">
        <v>1877.75</v>
      </c>
      <c r="H9" s="177">
        <v>12</v>
      </c>
    </row>
    <row r="10" spans="2:8" x14ac:dyDescent="0.25">
      <c r="B10" s="177" t="s">
        <v>135</v>
      </c>
      <c r="C10" s="177">
        <v>24661.75</v>
      </c>
      <c r="D10" s="177">
        <v>24661.748333333337</v>
      </c>
      <c r="E10" s="177">
        <v>0</v>
      </c>
      <c r="F10" s="181">
        <v>3.5666666666666664</v>
      </c>
      <c r="G10" s="177">
        <v>2583.5833333333335</v>
      </c>
      <c r="H10" s="177">
        <v>12</v>
      </c>
    </row>
    <row r="11" spans="2:8" x14ac:dyDescent="0.25">
      <c r="B11" s="177" t="s">
        <v>134</v>
      </c>
      <c r="C11" s="177">
        <v>36360.383333333339</v>
      </c>
      <c r="D11" s="177">
        <v>36360.383333333339</v>
      </c>
      <c r="E11" s="177">
        <v>0</v>
      </c>
      <c r="F11" s="181">
        <v>7.6791666666666671</v>
      </c>
      <c r="G11" s="177">
        <v>4508.416666666667</v>
      </c>
      <c r="H11" s="177">
        <v>12</v>
      </c>
    </row>
    <row r="12" spans="2:8" x14ac:dyDescent="0.25">
      <c r="B12" s="178" t="s">
        <v>115</v>
      </c>
      <c r="C12" s="177">
        <f>AVERAGE(C2:C11)</f>
        <v>20708.365740740741</v>
      </c>
      <c r="D12" s="177">
        <f t="shared" ref="D12:G12" si="0">AVERAGE(D2:D11)</f>
        <v>20707.911388888886</v>
      </c>
      <c r="E12" s="179">
        <f t="shared" si="0"/>
        <v>4.1666666666666665E-5</v>
      </c>
      <c r="F12" s="181">
        <f t="shared" si="0"/>
        <v>83.066481481481503</v>
      </c>
      <c r="G12" s="177">
        <f t="shared" si="0"/>
        <v>94192.194444444438</v>
      </c>
      <c r="H12" s="177">
        <f>SUM(H3:H11)</f>
        <v>107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Sheet1</vt:lpstr>
      <vt:lpstr>tabela grupos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ANDRESSA</cp:lastModifiedBy>
  <dcterms:created xsi:type="dcterms:W3CDTF">2026-02-06T23:20:39Z</dcterms:created>
  <dcterms:modified xsi:type="dcterms:W3CDTF">2026-02-09T16:26:58Z</dcterms:modified>
</cp:coreProperties>
</file>