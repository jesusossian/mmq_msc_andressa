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ANDRESSA\Desktop\mmq_msc_ulsr_py\ulsrr_lp\results\"/>
    </mc:Choice>
  </mc:AlternateContent>
  <xr:revisionPtr revIDLastSave="0" documentId="13_ncr:1_{50BDA7DA-A8D4-4FAC-A19C-091A60862D6D}" xr6:coauthVersionLast="44" xr6:coauthVersionMax="44" xr10:uidLastSave="{00000000-0000-0000-0000-000000000000}"/>
  <bookViews>
    <workbookView xWindow="-120" yWindow="-120" windowWidth="20730" windowHeight="11760" xr2:uid="{00000000-000D-0000-FFFF-FFFF00000000}"/>
  </bookViews>
  <sheets>
    <sheet name="tabela geral" sheetId="1" r:id="rId1"/>
    <sheet name="tabela grup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P13" i="2" l="1"/>
  <c r="O13" i="2"/>
  <c r="N13" i="2"/>
  <c r="M13" i="2"/>
  <c r="L13" i="2"/>
  <c r="E13" i="2"/>
  <c r="I13" i="2"/>
  <c r="F13" i="2"/>
  <c r="G13" i="2"/>
  <c r="H13" i="2"/>
  <c r="M52" i="1" l="1"/>
  <c r="M53" i="1" s="1"/>
  <c r="L52" i="1"/>
  <c r="L53" i="1" s="1"/>
  <c r="K52" i="1"/>
  <c r="K53" i="1" s="1"/>
  <c r="J52" i="1"/>
  <c r="J53" i="1" s="1"/>
  <c r="I53" i="1"/>
  <c r="T46" i="1"/>
  <c r="Q46" i="1"/>
  <c r="R46" i="1"/>
  <c r="S46" i="1"/>
  <c r="P46" i="1"/>
  <c r="M46" i="1"/>
  <c r="J46" i="1"/>
  <c r="K46" i="1"/>
  <c r="L46" i="1"/>
  <c r="I46" i="1"/>
  <c r="AA46" i="1"/>
  <c r="X46" i="1"/>
  <c r="Y46" i="1"/>
  <c r="Z46" i="1"/>
  <c r="W46" i="1"/>
  <c r="AA30" i="1"/>
  <c r="X30" i="1"/>
  <c r="Y30" i="1"/>
  <c r="Z30" i="1"/>
  <c r="W30" i="1"/>
  <c r="T30" i="1"/>
  <c r="Q30" i="1"/>
  <c r="R30" i="1"/>
  <c r="S30" i="1"/>
  <c r="P30" i="1"/>
  <c r="J30" i="1"/>
  <c r="K30" i="1"/>
  <c r="L30" i="1"/>
  <c r="I30" i="1"/>
  <c r="M30" i="1"/>
  <c r="X14" i="1"/>
  <c r="Y14" i="1"/>
  <c r="Z14" i="1"/>
  <c r="W14" i="1"/>
  <c r="AA14" i="1"/>
  <c r="T14" i="1"/>
  <c r="Q14" i="1"/>
  <c r="R14" i="1"/>
  <c r="S14" i="1"/>
  <c r="P14" i="1"/>
  <c r="M14" i="1"/>
  <c r="J14" i="1"/>
  <c r="K14" i="1"/>
  <c r="L14" i="1"/>
  <c r="I14" i="1"/>
</calcChain>
</file>

<file path=xl/sharedStrings.xml><?xml version="1.0" encoding="utf-8"?>
<sst xmlns="http://schemas.openxmlformats.org/spreadsheetml/2006/main" count="325" uniqueCount="133">
  <si>
    <t>instance</t>
  </si>
  <si>
    <t>objval</t>
  </si>
  <si>
    <t>objbound</t>
  </si>
  <si>
    <t>time</t>
  </si>
  <si>
    <t>nodes</t>
  </si>
  <si>
    <t>opt</t>
  </si>
  <si>
    <t>52_1.txt</t>
  </si>
  <si>
    <t>52_2.txt</t>
  </si>
  <si>
    <t>52_3.txt</t>
  </si>
  <si>
    <t>52_4.txt</t>
  </si>
  <si>
    <t>52_5.txt</t>
  </si>
  <si>
    <t>52_6.txt</t>
  </si>
  <si>
    <t>52_7.txt</t>
  </si>
  <si>
    <t>52_8.txt</t>
  </si>
  <si>
    <t>52_9.txt</t>
  </si>
  <si>
    <t>52_10.txt</t>
  </si>
  <si>
    <t>52_11.txt</t>
  </si>
  <si>
    <t>52_12.txt</t>
  </si>
  <si>
    <t>52_13.txt</t>
  </si>
  <si>
    <t>52_14.txt</t>
  </si>
  <si>
    <t>52_15.txt</t>
  </si>
  <si>
    <t>52_16.txt</t>
  </si>
  <si>
    <t>52_17.txt</t>
  </si>
  <si>
    <t>52_18.txt</t>
  </si>
  <si>
    <t>52_19.txt</t>
  </si>
  <si>
    <t>52_20.txt</t>
  </si>
  <si>
    <t>52_21.txt</t>
  </si>
  <si>
    <t>52_22.txt</t>
  </si>
  <si>
    <t>52_23.txt</t>
  </si>
  <si>
    <t>52_24.txt</t>
  </si>
  <si>
    <t>52_25.txt</t>
  </si>
  <si>
    <t>52_26.txt</t>
  </si>
  <si>
    <t>52_27.txt</t>
  </si>
  <si>
    <t>52_28.txt</t>
  </si>
  <si>
    <t>52_29.txt</t>
  </si>
  <si>
    <t>52_30.txt</t>
  </si>
  <si>
    <t>52_31.txt</t>
  </si>
  <si>
    <t>52_32.txt</t>
  </si>
  <si>
    <t>52_33.txt</t>
  </si>
  <si>
    <t>52_34.txt</t>
  </si>
  <si>
    <t>52_35.txt</t>
  </si>
  <si>
    <t>52_36.txt</t>
  </si>
  <si>
    <t>52_37.txt</t>
  </si>
  <si>
    <t>52_38.txt</t>
  </si>
  <si>
    <t>52_39.txt</t>
  </si>
  <si>
    <t>52_40.txt</t>
  </si>
  <si>
    <t>52_41.txt</t>
  </si>
  <si>
    <t>52_42.txt</t>
  </si>
  <si>
    <t>52_43.txt</t>
  </si>
  <si>
    <t>52_44.txt</t>
  </si>
  <si>
    <t>52_45.txt</t>
  </si>
  <si>
    <t>52_46.txt</t>
  </si>
  <si>
    <t>52_47.txt</t>
  </si>
  <si>
    <t>52_48.txt</t>
  </si>
  <si>
    <t>52_49.txt</t>
  </si>
  <si>
    <t>52_50.txt</t>
  </si>
  <si>
    <t>52_51.txt</t>
  </si>
  <si>
    <t>52_52.txt</t>
  </si>
  <si>
    <t>52_53.txt</t>
  </si>
  <si>
    <t>52_54.txt</t>
  </si>
  <si>
    <t>52_55.txt</t>
  </si>
  <si>
    <t>52_56.txt</t>
  </si>
  <si>
    <t>52_57.txt</t>
  </si>
  <si>
    <t>52_58.txt</t>
  </si>
  <si>
    <t>52_59.txt</t>
  </si>
  <si>
    <t>52_60.txt</t>
  </si>
  <si>
    <t>52_61.txt</t>
  </si>
  <si>
    <t>52_62.txt</t>
  </si>
  <si>
    <t>52_63.txt</t>
  </si>
  <si>
    <t>52_64.txt</t>
  </si>
  <si>
    <t>52_65.txt</t>
  </si>
  <si>
    <t>52_66.txt</t>
  </si>
  <si>
    <t>52_67.txt</t>
  </si>
  <si>
    <t>52_68.txt</t>
  </si>
  <si>
    <t>52_69.txt</t>
  </si>
  <si>
    <t>52_70.txt</t>
  </si>
  <si>
    <t>52_71.txt</t>
  </si>
  <si>
    <t>52_72.txt</t>
  </si>
  <si>
    <t>52_73.txt</t>
  </si>
  <si>
    <t>52_74.txt</t>
  </si>
  <si>
    <t>52_75.txt</t>
  </si>
  <si>
    <t>52_76.txt</t>
  </si>
  <si>
    <t>52_77.txt</t>
  </si>
  <si>
    <t>52_78.txt</t>
  </si>
  <si>
    <t>52_79.txt</t>
  </si>
  <si>
    <t>52_80.txt</t>
  </si>
  <si>
    <t>52_81.txt</t>
  </si>
  <si>
    <t>52_82.txt</t>
  </si>
  <si>
    <t>52_83.txt</t>
  </si>
  <si>
    <t>52_84.txt</t>
  </si>
  <si>
    <t>52_85.txt</t>
  </si>
  <si>
    <t>52_86.txt</t>
  </si>
  <si>
    <t>52_87.txt</t>
  </si>
  <si>
    <t>52_88.txt</t>
  </si>
  <si>
    <t>52_89.txt</t>
  </si>
  <si>
    <t>52_90.txt</t>
  </si>
  <si>
    <t>52_91.txt</t>
  </si>
  <si>
    <t>52_92.txt</t>
  </si>
  <si>
    <t>52_93.txt</t>
  </si>
  <si>
    <t>52_94.txt</t>
  </si>
  <si>
    <t>52_95.txt</t>
  </si>
  <si>
    <t>52_96.txt</t>
  </si>
  <si>
    <t>52_97.txt</t>
  </si>
  <si>
    <t>52_98.txt</t>
  </si>
  <si>
    <t>52_99.txt</t>
  </si>
  <si>
    <t>52_100.txt</t>
  </si>
  <si>
    <t>52_101.txt</t>
  </si>
  <si>
    <t>52_102.txt</t>
  </si>
  <si>
    <t>52_103.txt</t>
  </si>
  <si>
    <t>52_104.txt</t>
  </si>
  <si>
    <t>52_105.txt</t>
  </si>
  <si>
    <t>52_106.txt</t>
  </si>
  <si>
    <t>52_107.txt</t>
  </si>
  <si>
    <t>52_108.txt</t>
  </si>
  <si>
    <t>resume</t>
  </si>
  <si>
    <t>stp01</t>
  </si>
  <si>
    <t>stp02</t>
  </si>
  <si>
    <t>stp03</t>
  </si>
  <si>
    <t>stp04</t>
  </si>
  <si>
    <t>stp05</t>
  </si>
  <si>
    <t>stp06</t>
  </si>
  <si>
    <t>stp09</t>
  </si>
  <si>
    <t>stp07</t>
  </si>
  <si>
    <t>stp08</t>
  </si>
  <si>
    <t>Grupo</t>
  </si>
  <si>
    <t>objval(UB)</t>
  </si>
  <si>
    <t>objbound(LB)</t>
  </si>
  <si>
    <t>Coluna1</t>
  </si>
  <si>
    <t>Coluna2</t>
  </si>
  <si>
    <t>Coluna3</t>
  </si>
  <si>
    <t>Coluna4</t>
  </si>
  <si>
    <t>Coluna5</t>
  </si>
  <si>
    <t>Coluna6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</si>
</sst>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30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5"/>
      </right>
      <top style="medium">
        <color indexed="64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medium">
        <color indexed="64"/>
      </top>
      <bottom style="thin">
        <color theme="5"/>
      </bottom>
      <diagonal/>
    </border>
    <border>
      <left style="thin">
        <color theme="5"/>
      </left>
      <right style="medium">
        <color indexed="64"/>
      </right>
      <top style="medium">
        <color indexed="64"/>
      </top>
      <bottom style="thin">
        <color theme="5"/>
      </bottom>
      <diagonal/>
    </border>
    <border>
      <left style="medium">
        <color indexed="64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medium">
        <color indexed="64"/>
      </right>
      <top style="thin">
        <color theme="5"/>
      </top>
      <bottom style="thin">
        <color theme="5"/>
      </bottom>
      <diagonal/>
    </border>
    <border>
      <left style="medium">
        <color indexed="64"/>
      </left>
      <right style="thin">
        <color theme="5"/>
      </right>
      <top style="thin">
        <color theme="5"/>
      </top>
      <bottom style="medium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medium">
        <color indexed="64"/>
      </bottom>
      <diagonal/>
    </border>
    <border>
      <left style="thin">
        <color theme="5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thin">
        <color theme="5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5"/>
      </right>
      <top style="medium">
        <color indexed="64"/>
      </top>
      <bottom style="medium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5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3" borderId="0" xfId="0" applyFill="1"/>
    <xf numFmtId="0" fontId="1" fillId="0" borderId="2" xfId="0" applyFont="1" applyBorder="1" applyAlignment="1">
      <alignment horizontal="center" vertical="top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0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0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0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6" borderId="0" xfId="0" applyFill="1"/>
    <xf numFmtId="0" fontId="0" fillId="8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0" xfId="0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10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0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9" borderId="3" xfId="0" applyFill="1" applyBorder="1"/>
    <xf numFmtId="0" fontId="0" fillId="9" borderId="4" xfId="0" applyFill="1" applyBorder="1"/>
    <xf numFmtId="0" fontId="0" fillId="9" borderId="5" xfId="0" applyFill="1" applyBorder="1"/>
    <xf numFmtId="0" fontId="0" fillId="9" borderId="6" xfId="0" applyFill="1" applyBorder="1"/>
    <xf numFmtId="0" fontId="0" fillId="9" borderId="0" xfId="0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0" fontId="0" fillId="9" borderId="10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0" borderId="5" xfId="0" applyFill="1" applyBorder="1"/>
    <xf numFmtId="0" fontId="0" fillId="10" borderId="6" xfId="0" applyFill="1" applyBorder="1"/>
    <xf numFmtId="0" fontId="0" fillId="10" borderId="0" xfId="0" applyFill="1" applyBorder="1"/>
    <xf numFmtId="0" fontId="0" fillId="10" borderId="7" xfId="0" applyFill="1" applyBorder="1"/>
    <xf numFmtId="0" fontId="0" fillId="10" borderId="8" xfId="0" applyFill="1" applyBorder="1"/>
    <xf numFmtId="0" fontId="0" fillId="10" borderId="9" xfId="0" applyFill="1" applyBorder="1"/>
    <xf numFmtId="0" fontId="0" fillId="10" borderId="10" xfId="0" applyFill="1" applyBorder="1"/>
    <xf numFmtId="0" fontId="0" fillId="2" borderId="11" xfId="0" applyFont="1" applyFill="1" applyBorder="1"/>
    <xf numFmtId="0" fontId="0" fillId="2" borderId="12" xfId="0" applyFont="1" applyFill="1" applyBorder="1"/>
    <xf numFmtId="0" fontId="0" fillId="2" borderId="13" xfId="0" applyFont="1" applyFill="1" applyBorder="1"/>
    <xf numFmtId="0" fontId="0" fillId="2" borderId="14" xfId="0" applyFont="1" applyFill="1" applyBorder="1"/>
    <xf numFmtId="0" fontId="0" fillId="2" borderId="1" xfId="0" applyFont="1" applyFill="1" applyBorder="1"/>
    <xf numFmtId="0" fontId="0" fillId="2" borderId="15" xfId="0" applyFont="1" applyFill="1" applyBorder="1"/>
    <xf numFmtId="0" fontId="0" fillId="2" borderId="16" xfId="0" applyFont="1" applyFill="1" applyBorder="1"/>
    <xf numFmtId="0" fontId="0" fillId="2" borderId="17" xfId="0" applyFont="1" applyFill="1" applyBorder="1"/>
    <xf numFmtId="0" fontId="0" fillId="2" borderId="18" xfId="0" applyFont="1" applyFill="1" applyBorder="1"/>
    <xf numFmtId="0" fontId="0" fillId="5" borderId="11" xfId="0" applyFont="1" applyFill="1" applyBorder="1"/>
    <xf numFmtId="0" fontId="0" fillId="5" borderId="12" xfId="0" applyFont="1" applyFill="1" applyBorder="1"/>
    <xf numFmtId="0" fontId="0" fillId="5" borderId="13" xfId="0" applyFont="1" applyFill="1" applyBorder="1"/>
    <xf numFmtId="0" fontId="0" fillId="5" borderId="14" xfId="0" applyFont="1" applyFill="1" applyBorder="1"/>
    <xf numFmtId="0" fontId="0" fillId="5" borderId="1" xfId="0" applyFont="1" applyFill="1" applyBorder="1"/>
    <xf numFmtId="0" fontId="0" fillId="5" borderId="15" xfId="0" applyFont="1" applyFill="1" applyBorder="1"/>
    <xf numFmtId="0" fontId="0" fillId="5" borderId="16" xfId="0" applyFont="1" applyFill="1" applyBorder="1"/>
    <xf numFmtId="0" fontId="0" fillId="5" borderId="17" xfId="0" applyFont="1" applyFill="1" applyBorder="1"/>
    <xf numFmtId="0" fontId="0" fillId="5" borderId="18" xfId="0" applyFont="1" applyFill="1" applyBorder="1"/>
    <xf numFmtId="0" fontId="0" fillId="11" borderId="0" xfId="0" applyFill="1"/>
    <xf numFmtId="0" fontId="2" fillId="11" borderId="20" xfId="0" applyFont="1" applyFill="1" applyBorder="1"/>
    <xf numFmtId="0" fontId="0" fillId="11" borderId="21" xfId="0" applyFill="1" applyBorder="1"/>
    <xf numFmtId="0" fontId="0" fillId="11" borderId="22" xfId="0" applyFill="1" applyBorder="1"/>
    <xf numFmtId="0" fontId="2" fillId="11" borderId="19" xfId="0" applyFont="1" applyFill="1" applyBorder="1"/>
    <xf numFmtId="0" fontId="0" fillId="7" borderId="11" xfId="0" applyFont="1" applyFill="1" applyBorder="1"/>
    <xf numFmtId="0" fontId="0" fillId="7" borderId="12" xfId="0" applyFont="1" applyFill="1" applyBorder="1"/>
    <xf numFmtId="0" fontId="0" fillId="7" borderId="13" xfId="0" applyFont="1" applyFill="1" applyBorder="1"/>
    <xf numFmtId="0" fontId="0" fillId="7" borderId="14" xfId="0" applyFont="1" applyFill="1" applyBorder="1"/>
    <xf numFmtId="0" fontId="0" fillId="7" borderId="1" xfId="0" applyFont="1" applyFill="1" applyBorder="1"/>
    <xf numFmtId="0" fontId="0" fillId="7" borderId="15" xfId="0" applyFont="1" applyFill="1" applyBorder="1"/>
    <xf numFmtId="0" fontId="0" fillId="7" borderId="16" xfId="0" applyFont="1" applyFill="1" applyBorder="1"/>
    <xf numFmtId="0" fontId="0" fillId="7" borderId="17" xfId="0" applyFont="1" applyFill="1" applyBorder="1"/>
    <xf numFmtId="0" fontId="0" fillId="7" borderId="18" xfId="0" applyFont="1" applyFill="1" applyBorder="1"/>
    <xf numFmtId="0" fontId="0" fillId="6" borderId="1" xfId="0" applyFont="1" applyFill="1" applyBorder="1"/>
    <xf numFmtId="0" fontId="0" fillId="3" borderId="1" xfId="0" applyFont="1" applyFill="1" applyBorder="1"/>
    <xf numFmtId="0" fontId="0" fillId="8" borderId="11" xfId="0" applyFont="1" applyFill="1" applyBorder="1"/>
    <xf numFmtId="0" fontId="0" fillId="8" borderId="12" xfId="0" applyFont="1" applyFill="1" applyBorder="1"/>
    <xf numFmtId="0" fontId="0" fillId="8" borderId="13" xfId="0" applyFont="1" applyFill="1" applyBorder="1"/>
    <xf numFmtId="0" fontId="0" fillId="8" borderId="14" xfId="0" applyFont="1" applyFill="1" applyBorder="1"/>
    <xf numFmtId="0" fontId="0" fillId="8" borderId="1" xfId="0" applyFont="1" applyFill="1" applyBorder="1"/>
    <xf numFmtId="0" fontId="0" fillId="8" borderId="15" xfId="0" applyFont="1" applyFill="1" applyBorder="1"/>
    <xf numFmtId="0" fontId="0" fillId="8" borderId="16" xfId="0" applyFont="1" applyFill="1" applyBorder="1"/>
    <xf numFmtId="0" fontId="0" fillId="8" borderId="17" xfId="0" applyFont="1" applyFill="1" applyBorder="1"/>
    <xf numFmtId="0" fontId="0" fillId="8" borderId="18" xfId="0" applyFont="1" applyFill="1" applyBorder="1"/>
    <xf numFmtId="0" fontId="0" fillId="6" borderId="24" xfId="0" applyFont="1" applyFill="1" applyBorder="1"/>
    <xf numFmtId="0" fontId="0" fillId="3" borderId="24" xfId="0" applyFont="1" applyFill="1" applyBorder="1"/>
    <xf numFmtId="0" fontId="2" fillId="11" borderId="23" xfId="0" applyFont="1" applyFill="1" applyBorder="1"/>
    <xf numFmtId="0" fontId="0" fillId="9" borderId="11" xfId="0" applyFont="1" applyFill="1" applyBorder="1"/>
    <xf numFmtId="0" fontId="0" fillId="9" borderId="12" xfId="0" applyFont="1" applyFill="1" applyBorder="1"/>
    <xf numFmtId="0" fontId="0" fillId="9" borderId="13" xfId="0" applyFont="1" applyFill="1" applyBorder="1"/>
    <xf numFmtId="0" fontId="0" fillId="9" borderId="14" xfId="0" applyFont="1" applyFill="1" applyBorder="1"/>
    <xf numFmtId="0" fontId="0" fillId="9" borderId="1" xfId="0" applyFont="1" applyFill="1" applyBorder="1"/>
    <xf numFmtId="0" fontId="0" fillId="9" borderId="15" xfId="0" applyFont="1" applyFill="1" applyBorder="1"/>
    <xf numFmtId="0" fontId="0" fillId="9" borderId="16" xfId="0" applyFont="1" applyFill="1" applyBorder="1"/>
    <xf numFmtId="0" fontId="0" fillId="9" borderId="17" xfId="0" applyFont="1" applyFill="1" applyBorder="1"/>
    <xf numFmtId="0" fontId="0" fillId="9" borderId="18" xfId="0" applyFont="1" applyFill="1" applyBorder="1"/>
    <xf numFmtId="0" fontId="0" fillId="10" borderId="11" xfId="0" applyFont="1" applyFill="1" applyBorder="1"/>
    <xf numFmtId="0" fontId="0" fillId="10" borderId="12" xfId="0" applyFont="1" applyFill="1" applyBorder="1"/>
    <xf numFmtId="0" fontId="0" fillId="10" borderId="13" xfId="0" applyFont="1" applyFill="1" applyBorder="1"/>
    <xf numFmtId="0" fontId="0" fillId="10" borderId="14" xfId="0" applyFont="1" applyFill="1" applyBorder="1"/>
    <xf numFmtId="0" fontId="0" fillId="10" borderId="1" xfId="0" applyFont="1" applyFill="1" applyBorder="1"/>
    <xf numFmtId="0" fontId="0" fillId="10" borderId="15" xfId="0" applyFont="1" applyFill="1" applyBorder="1"/>
    <xf numFmtId="0" fontId="0" fillId="10" borderId="16" xfId="0" applyFont="1" applyFill="1" applyBorder="1"/>
    <xf numFmtId="0" fontId="0" fillId="10" borderId="17" xfId="0" applyFont="1" applyFill="1" applyBorder="1"/>
    <xf numFmtId="0" fontId="0" fillId="10" borderId="18" xfId="0" applyFont="1" applyFill="1" applyBorder="1"/>
    <xf numFmtId="0" fontId="0" fillId="4" borderId="11" xfId="0" applyFont="1" applyFill="1" applyBorder="1"/>
    <xf numFmtId="0" fontId="0" fillId="4" borderId="12" xfId="0" applyFont="1" applyFill="1" applyBorder="1"/>
    <xf numFmtId="0" fontId="0" fillId="4" borderId="13" xfId="0" applyFont="1" applyFill="1" applyBorder="1"/>
    <xf numFmtId="0" fontId="0" fillId="4" borderId="14" xfId="0" applyFont="1" applyFill="1" applyBorder="1"/>
    <xf numFmtId="0" fontId="0" fillId="4" borderId="1" xfId="0" applyFont="1" applyFill="1" applyBorder="1"/>
    <xf numFmtId="0" fontId="0" fillId="4" borderId="15" xfId="0" applyFont="1" applyFill="1" applyBorder="1"/>
    <xf numFmtId="0" fontId="0" fillId="4" borderId="16" xfId="0" applyFont="1" applyFill="1" applyBorder="1"/>
    <xf numFmtId="0" fontId="0" fillId="4" borderId="17" xfId="0" applyFont="1" applyFill="1" applyBorder="1"/>
    <xf numFmtId="0" fontId="0" fillId="4" borderId="18" xfId="0" applyFont="1" applyFill="1" applyBorder="1"/>
    <xf numFmtId="17" fontId="2" fillId="11" borderId="20" xfId="0" applyNumberFormat="1" applyFont="1" applyFill="1" applyBorder="1"/>
    <xf numFmtId="0" fontId="2" fillId="0" borderId="0" xfId="0" applyFont="1"/>
    <xf numFmtId="0" fontId="0" fillId="0" borderId="20" xfId="0" applyBorder="1"/>
    <xf numFmtId="0" fontId="0" fillId="0" borderId="21" xfId="0" applyBorder="1"/>
    <xf numFmtId="0" fontId="0" fillId="0" borderId="22" xfId="0" applyBorder="1"/>
    <xf numFmtId="2" fontId="0" fillId="0" borderId="0" xfId="0" applyNumberFormat="1"/>
    <xf numFmtId="2" fontId="0" fillId="0" borderId="21" xfId="0" applyNumberFormat="1" applyBorder="1"/>
    <xf numFmtId="0" fontId="3" fillId="12" borderId="26" xfId="0" applyFont="1" applyFill="1" applyBorder="1"/>
    <xf numFmtId="0" fontId="3" fillId="12" borderId="27" xfId="0" applyFont="1" applyFill="1" applyBorder="1"/>
    <xf numFmtId="0" fontId="3" fillId="12" borderId="28" xfId="0" applyFont="1" applyFill="1" applyBorder="1"/>
    <xf numFmtId="0" fontId="2" fillId="13" borderId="25" xfId="0" applyFont="1" applyFill="1" applyBorder="1"/>
    <xf numFmtId="2" fontId="0" fillId="13" borderId="25" xfId="0" applyNumberFormat="1" applyFont="1" applyFill="1" applyBorder="1"/>
    <xf numFmtId="0" fontId="0" fillId="13" borderId="25" xfId="0" applyFont="1" applyFill="1" applyBorder="1"/>
    <xf numFmtId="0" fontId="2" fillId="14" borderId="25" xfId="0" applyFont="1" applyFill="1" applyBorder="1"/>
    <xf numFmtId="2" fontId="0" fillId="14" borderId="25" xfId="0" applyNumberFormat="1" applyFont="1" applyFill="1" applyBorder="1"/>
    <xf numFmtId="0" fontId="0" fillId="14" borderId="25" xfId="0" applyFont="1" applyFill="1" applyBorder="1"/>
    <xf numFmtId="0" fontId="0" fillId="14" borderId="26" xfId="0" applyFont="1" applyFill="1" applyBorder="1"/>
    <xf numFmtId="2" fontId="0" fillId="14" borderId="27" xfId="0" applyNumberFormat="1" applyFont="1" applyFill="1" applyBorder="1"/>
    <xf numFmtId="0" fontId="0" fillId="14" borderId="28" xfId="0" applyFont="1" applyFill="1" applyBorder="1"/>
    <xf numFmtId="0" fontId="4" fillId="0" borderId="29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60A77C-40C1-42A9-B87E-0ACEFFC77841}" name="Tabela1" displayName="Tabela1" ref="A1:F110" totalsRowShown="0" headerRowDxfId="2" headerRowBorderDxfId="1" tableBorderDxfId="0">
  <autoFilter ref="A1:F110" xr:uid="{4492964B-4C96-4895-AF2C-D32F02E3DF0E}"/>
  <tableColumns count="6">
    <tableColumn id="1" xr3:uid="{32739D14-E28B-4467-B00F-AD943D134E07}" name="instance"/>
    <tableColumn id="2" xr3:uid="{AD461406-32B3-48E3-B4C3-BF5B02D04E55}" name="objval"/>
    <tableColumn id="3" xr3:uid="{0AEF5674-D807-4A00-AB1F-39B56EA2D68C}" name="objbound"/>
    <tableColumn id="4" xr3:uid="{CFC312BE-BDD8-4E8A-B0A9-8FA94F4FF87F}" name="time"/>
    <tableColumn id="5" xr3:uid="{DEAD1A81-0318-4055-8F25-F58E4A3B289C}" name="nodes"/>
    <tableColumn id="6" xr3:uid="{4E7A2B83-9F08-4890-8BBD-7AD1732F509B}" name="opt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50AF65-71F7-4BBE-874E-D843E9D3D325}" name="Tabela3" displayName="Tabela3" ref="D2:I13" totalsRowShown="0">
  <autoFilter ref="D2:I13" xr:uid="{96FFB7DF-7C4F-4A17-B44D-2B690D120361}"/>
  <tableColumns count="6">
    <tableColumn id="1" xr3:uid="{F8DB3A01-83EB-4FE9-BBAD-8A2E5021E893}" name="Coluna1"/>
    <tableColumn id="2" xr3:uid="{E7DF48A4-38DC-47DA-97F8-B960F91D72B2}" name="Coluna2"/>
    <tableColumn id="3" xr3:uid="{97D1CA2C-0B5E-47F3-8211-9C589868A39E}" name="Coluna3"/>
    <tableColumn id="4" xr3:uid="{17CB537A-9C51-4691-8C33-2A40F4C02FA4}" name="Coluna4"/>
    <tableColumn id="5" xr3:uid="{730837B7-0CF0-4F99-9DFA-8D17B03A8588}" name="Coluna5"/>
    <tableColumn id="6" xr3:uid="{FBD0999C-3D05-464E-A321-672B9F81CD5D}" name="Coluna6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0"/>
  <sheetViews>
    <sheetView tabSelected="1" topLeftCell="G1" zoomScale="93" zoomScaleNormal="93" workbookViewId="0">
      <selection activeCell="V1" sqref="V1:AA1"/>
    </sheetView>
  </sheetViews>
  <sheetFormatPr defaultRowHeight="15" x14ac:dyDescent="0.25"/>
  <cols>
    <col min="1" max="1" width="10.5703125" customWidth="1"/>
    <col min="3" max="3" width="11.7109375" customWidth="1"/>
    <col min="9" max="9" width="9.7109375" customWidth="1"/>
    <col min="10" max="10" width="12.5703125" customWidth="1"/>
  </cols>
  <sheetData>
    <row r="1" spans="1:27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159" t="s">
        <v>0</v>
      </c>
      <c r="I1" s="159" t="s">
        <v>1</v>
      </c>
      <c r="J1" s="159" t="s">
        <v>2</v>
      </c>
      <c r="K1" s="159" t="s">
        <v>3</v>
      </c>
      <c r="L1" s="159" t="s">
        <v>4</v>
      </c>
      <c r="M1" s="159" t="s">
        <v>5</v>
      </c>
      <c r="O1" s="159" t="s">
        <v>0</v>
      </c>
      <c r="P1" s="159" t="s">
        <v>1</v>
      </c>
      <c r="Q1" s="159" t="s">
        <v>2</v>
      </c>
      <c r="R1" s="159" t="s">
        <v>3</v>
      </c>
      <c r="S1" s="159" t="s">
        <v>4</v>
      </c>
      <c r="T1" s="159" t="s">
        <v>5</v>
      </c>
      <c r="V1" s="159" t="s">
        <v>0</v>
      </c>
      <c r="W1" s="159" t="s">
        <v>1</v>
      </c>
      <c r="X1" s="159" t="s">
        <v>2</v>
      </c>
      <c r="Y1" s="159" t="s">
        <v>3</v>
      </c>
      <c r="Z1" s="159" t="s">
        <v>4</v>
      </c>
      <c r="AA1" s="159" t="s">
        <v>5</v>
      </c>
    </row>
    <row r="2" spans="1:27" x14ac:dyDescent="0.25">
      <c r="A2" s="3" t="s">
        <v>6</v>
      </c>
      <c r="B2" s="4">
        <v>8698.7999999999993</v>
      </c>
      <c r="C2" s="4">
        <v>8698.7999999999993</v>
      </c>
      <c r="D2" s="4">
        <v>10.99</v>
      </c>
      <c r="E2" s="4">
        <v>15677</v>
      </c>
      <c r="F2" s="5">
        <v>1</v>
      </c>
      <c r="H2" s="67" t="s">
        <v>6</v>
      </c>
      <c r="I2" s="68">
        <v>8698.7999999999993</v>
      </c>
      <c r="J2" s="68">
        <v>8698.7999999999993</v>
      </c>
      <c r="K2" s="68">
        <v>10.99</v>
      </c>
      <c r="L2" s="68">
        <v>15677</v>
      </c>
      <c r="M2" s="69">
        <v>1</v>
      </c>
      <c r="O2" s="76" t="s">
        <v>18</v>
      </c>
      <c r="P2" s="77">
        <v>13194.8</v>
      </c>
      <c r="Q2" s="77">
        <v>13194.8</v>
      </c>
      <c r="R2" s="77">
        <v>96.57</v>
      </c>
      <c r="S2" s="77">
        <v>135442</v>
      </c>
      <c r="T2" s="78">
        <v>1</v>
      </c>
      <c r="V2" s="90" t="s">
        <v>30</v>
      </c>
      <c r="W2" s="91">
        <v>25657.200000000001</v>
      </c>
      <c r="X2" s="91">
        <v>25657.200000000001</v>
      </c>
      <c r="Y2" s="91">
        <v>12.96</v>
      </c>
      <c r="Z2" s="91">
        <v>9706</v>
      </c>
      <c r="AA2" s="92">
        <v>1</v>
      </c>
    </row>
    <row r="3" spans="1:27" x14ac:dyDescent="0.25">
      <c r="A3" s="6" t="s">
        <v>7</v>
      </c>
      <c r="B3" s="7">
        <v>8781.7999999999993</v>
      </c>
      <c r="C3" s="7">
        <v>8781.7999999999993</v>
      </c>
      <c r="D3" s="7">
        <v>53.96</v>
      </c>
      <c r="E3" s="7">
        <v>100081</v>
      </c>
      <c r="F3" s="8">
        <v>1</v>
      </c>
      <c r="H3" s="70" t="s">
        <v>7</v>
      </c>
      <c r="I3" s="71">
        <v>8781.7999999999993</v>
      </c>
      <c r="J3" s="71">
        <v>8781.7999999999993</v>
      </c>
      <c r="K3" s="71">
        <v>53.96</v>
      </c>
      <c r="L3" s="71">
        <v>100081</v>
      </c>
      <c r="M3" s="72">
        <v>1</v>
      </c>
      <c r="O3" s="79" t="s">
        <v>19</v>
      </c>
      <c r="P3" s="80">
        <v>12131.4</v>
      </c>
      <c r="Q3" s="80">
        <v>12131.4</v>
      </c>
      <c r="R3" s="80">
        <v>29.89</v>
      </c>
      <c r="S3" s="80">
        <v>53815</v>
      </c>
      <c r="T3" s="81">
        <v>1</v>
      </c>
      <c r="V3" s="93" t="s">
        <v>31</v>
      </c>
      <c r="W3" s="94">
        <v>21247.4</v>
      </c>
      <c r="X3" s="94">
        <v>21246.28</v>
      </c>
      <c r="Y3" s="94">
        <v>12.52</v>
      </c>
      <c r="Z3" s="94">
        <v>11438</v>
      </c>
      <c r="AA3" s="95">
        <v>1</v>
      </c>
    </row>
    <row r="4" spans="1:27" x14ac:dyDescent="0.25">
      <c r="A4" s="6" t="s">
        <v>8</v>
      </c>
      <c r="B4" s="7">
        <v>8541.6</v>
      </c>
      <c r="C4" s="7">
        <v>8541.6</v>
      </c>
      <c r="D4" s="7">
        <v>7.74</v>
      </c>
      <c r="E4" s="7">
        <v>8037</v>
      </c>
      <c r="F4" s="8">
        <v>1</v>
      </c>
      <c r="H4" s="70" t="s">
        <v>8</v>
      </c>
      <c r="I4" s="71">
        <v>8541.6</v>
      </c>
      <c r="J4" s="71">
        <v>8541.6</v>
      </c>
      <c r="K4" s="71">
        <v>7.74</v>
      </c>
      <c r="L4" s="71">
        <v>8037</v>
      </c>
      <c r="M4" s="72">
        <v>1</v>
      </c>
      <c r="O4" s="79" t="s">
        <v>20</v>
      </c>
      <c r="P4" s="80">
        <v>13018.4</v>
      </c>
      <c r="Q4" s="80">
        <v>13018.4</v>
      </c>
      <c r="R4" s="80">
        <v>27.2</v>
      </c>
      <c r="S4" s="80">
        <v>40369</v>
      </c>
      <c r="T4" s="81">
        <v>1</v>
      </c>
      <c r="V4" s="93" t="s">
        <v>32</v>
      </c>
      <c r="W4" s="94">
        <v>24364.400000000001</v>
      </c>
      <c r="X4" s="94">
        <v>24364.400000000001</v>
      </c>
      <c r="Y4" s="94">
        <v>8.58</v>
      </c>
      <c r="Z4" s="94">
        <v>3476</v>
      </c>
      <c r="AA4" s="95">
        <v>1</v>
      </c>
    </row>
    <row r="5" spans="1:27" x14ac:dyDescent="0.25">
      <c r="A5" s="6" t="s">
        <v>9</v>
      </c>
      <c r="B5" s="7">
        <v>8943.7999999999993</v>
      </c>
      <c r="C5" s="7">
        <v>8943.7999999999993</v>
      </c>
      <c r="D5" s="7">
        <v>25.92</v>
      </c>
      <c r="E5" s="7">
        <v>43485</v>
      </c>
      <c r="F5" s="8">
        <v>1</v>
      </c>
      <c r="H5" s="70" t="s">
        <v>9</v>
      </c>
      <c r="I5" s="71">
        <v>8943.7999999999993</v>
      </c>
      <c r="J5" s="71">
        <v>8943.7999999999993</v>
      </c>
      <c r="K5" s="71">
        <v>25.92</v>
      </c>
      <c r="L5" s="71">
        <v>43485</v>
      </c>
      <c r="M5" s="72">
        <v>1</v>
      </c>
      <c r="O5" s="79" t="s">
        <v>21</v>
      </c>
      <c r="P5" s="80">
        <v>11848.6</v>
      </c>
      <c r="Q5" s="80">
        <v>11848.6</v>
      </c>
      <c r="R5" s="80">
        <v>16.440000000000001</v>
      </c>
      <c r="S5" s="80">
        <v>22071</v>
      </c>
      <c r="T5" s="81">
        <v>1</v>
      </c>
      <c r="V5" s="93" t="s">
        <v>33</v>
      </c>
      <c r="W5" s="94">
        <v>20329</v>
      </c>
      <c r="X5" s="94">
        <v>20329</v>
      </c>
      <c r="Y5" s="94">
        <v>12.53</v>
      </c>
      <c r="Z5" s="94">
        <v>11511</v>
      </c>
      <c r="AA5" s="95">
        <v>1</v>
      </c>
    </row>
    <row r="6" spans="1:27" x14ac:dyDescent="0.25">
      <c r="A6" s="6" t="s">
        <v>10</v>
      </c>
      <c r="B6" s="7">
        <v>9717</v>
      </c>
      <c r="C6" s="7">
        <v>9717</v>
      </c>
      <c r="D6" s="7">
        <v>99.36</v>
      </c>
      <c r="E6" s="7">
        <v>157584</v>
      </c>
      <c r="F6" s="8">
        <v>1</v>
      </c>
      <c r="H6" s="70" t="s">
        <v>10</v>
      </c>
      <c r="I6" s="71">
        <v>9717</v>
      </c>
      <c r="J6" s="71">
        <v>9717</v>
      </c>
      <c r="K6" s="71">
        <v>99.36</v>
      </c>
      <c r="L6" s="71">
        <v>157584</v>
      </c>
      <c r="M6" s="72">
        <v>1</v>
      </c>
      <c r="O6" s="79" t="s">
        <v>22</v>
      </c>
      <c r="P6" s="80">
        <v>14236.5</v>
      </c>
      <c r="Q6" s="80">
        <v>14236.33</v>
      </c>
      <c r="R6" s="80">
        <v>401.6</v>
      </c>
      <c r="S6" s="80">
        <v>648618</v>
      </c>
      <c r="T6" s="81">
        <v>1</v>
      </c>
      <c r="V6" s="93" t="s">
        <v>34</v>
      </c>
      <c r="W6" s="94">
        <v>26561</v>
      </c>
      <c r="X6" s="94">
        <v>26561</v>
      </c>
      <c r="Y6" s="94">
        <v>21.46</v>
      </c>
      <c r="Z6" s="94">
        <v>31647</v>
      </c>
      <c r="AA6" s="95">
        <v>1</v>
      </c>
    </row>
    <row r="7" spans="1:27" x14ac:dyDescent="0.25">
      <c r="A7" s="6" t="s">
        <v>11</v>
      </c>
      <c r="B7" s="7">
        <v>9962.5</v>
      </c>
      <c r="C7" s="7">
        <v>9961.6200000000008</v>
      </c>
      <c r="D7" s="7">
        <v>285</v>
      </c>
      <c r="E7" s="7">
        <v>535289</v>
      </c>
      <c r="F7" s="8">
        <v>1</v>
      </c>
      <c r="H7" s="70" t="s">
        <v>11</v>
      </c>
      <c r="I7" s="71">
        <v>9962.5</v>
      </c>
      <c r="J7" s="71">
        <v>9961.6200000000008</v>
      </c>
      <c r="K7" s="71">
        <v>285</v>
      </c>
      <c r="L7" s="71">
        <v>535289</v>
      </c>
      <c r="M7" s="72">
        <v>1</v>
      </c>
      <c r="O7" s="79" t="s">
        <v>23</v>
      </c>
      <c r="P7" s="80">
        <v>13151</v>
      </c>
      <c r="Q7" s="80">
        <v>13151</v>
      </c>
      <c r="R7" s="80">
        <v>230.05</v>
      </c>
      <c r="S7" s="80">
        <v>339946</v>
      </c>
      <c r="T7" s="81">
        <v>1</v>
      </c>
      <c r="V7" s="93" t="s">
        <v>35</v>
      </c>
      <c r="W7" s="94">
        <v>22332.5</v>
      </c>
      <c r="X7" s="94">
        <v>22332.5</v>
      </c>
      <c r="Y7" s="94">
        <v>39.43</v>
      </c>
      <c r="Z7" s="94">
        <v>58930</v>
      </c>
      <c r="AA7" s="95">
        <v>1</v>
      </c>
    </row>
    <row r="8" spans="1:27" x14ac:dyDescent="0.25">
      <c r="A8" s="6" t="s">
        <v>12</v>
      </c>
      <c r="B8" s="7">
        <v>9598</v>
      </c>
      <c r="C8" s="7">
        <v>9598</v>
      </c>
      <c r="D8" s="7">
        <v>33.54</v>
      </c>
      <c r="E8" s="7">
        <v>50258</v>
      </c>
      <c r="F8" s="8">
        <v>1</v>
      </c>
      <c r="H8" s="70" t="s">
        <v>12</v>
      </c>
      <c r="I8" s="71">
        <v>9598</v>
      </c>
      <c r="J8" s="71">
        <v>9598</v>
      </c>
      <c r="K8" s="71">
        <v>33.54</v>
      </c>
      <c r="L8" s="71">
        <v>50258</v>
      </c>
      <c r="M8" s="72">
        <v>1</v>
      </c>
      <c r="O8" s="79" t="s">
        <v>24</v>
      </c>
      <c r="P8" s="80">
        <v>13902</v>
      </c>
      <c r="Q8" s="80">
        <v>13902</v>
      </c>
      <c r="R8" s="80">
        <v>69.09</v>
      </c>
      <c r="S8" s="80">
        <v>87291</v>
      </c>
      <c r="T8" s="81">
        <v>1</v>
      </c>
      <c r="V8" s="93" t="s">
        <v>36</v>
      </c>
      <c r="W8" s="94">
        <v>26625.5</v>
      </c>
      <c r="X8" s="94">
        <v>26625.5</v>
      </c>
      <c r="Y8" s="94">
        <v>19.62</v>
      </c>
      <c r="Z8" s="94">
        <v>18933</v>
      </c>
      <c r="AA8" s="95">
        <v>1</v>
      </c>
    </row>
    <row r="9" spans="1:27" x14ac:dyDescent="0.25">
      <c r="A9" s="6" t="s">
        <v>13</v>
      </c>
      <c r="B9" s="7">
        <v>9803.5</v>
      </c>
      <c r="C9" s="7">
        <v>9803.5</v>
      </c>
      <c r="D9" s="7">
        <v>57.13</v>
      </c>
      <c r="E9" s="7">
        <v>72796</v>
      </c>
      <c r="F9" s="8">
        <v>1</v>
      </c>
      <c r="H9" s="70" t="s">
        <v>13</v>
      </c>
      <c r="I9" s="71">
        <v>9803.5</v>
      </c>
      <c r="J9" s="71">
        <v>9803.5</v>
      </c>
      <c r="K9" s="71">
        <v>57.13</v>
      </c>
      <c r="L9" s="71">
        <v>72796</v>
      </c>
      <c r="M9" s="72">
        <v>1</v>
      </c>
      <c r="O9" s="79" t="s">
        <v>25</v>
      </c>
      <c r="P9" s="80">
        <v>13495.5</v>
      </c>
      <c r="Q9" s="80">
        <v>13495.5</v>
      </c>
      <c r="R9" s="80">
        <v>104.13</v>
      </c>
      <c r="S9" s="80">
        <v>146373</v>
      </c>
      <c r="T9" s="81">
        <v>1</v>
      </c>
      <c r="V9" s="93" t="s">
        <v>37</v>
      </c>
      <c r="W9" s="94">
        <v>23229.5</v>
      </c>
      <c r="X9" s="94">
        <v>23229.5</v>
      </c>
      <c r="Y9" s="94">
        <v>18.57</v>
      </c>
      <c r="Z9" s="94">
        <v>20796</v>
      </c>
      <c r="AA9" s="95">
        <v>1</v>
      </c>
    </row>
    <row r="10" spans="1:27" x14ac:dyDescent="0.25">
      <c r="A10" s="6" t="s">
        <v>14</v>
      </c>
      <c r="B10" s="7">
        <v>10266.200000000001</v>
      </c>
      <c r="C10" s="7">
        <v>10266.200000000001</v>
      </c>
      <c r="D10" s="7">
        <v>18.91</v>
      </c>
      <c r="E10" s="7">
        <v>27155</v>
      </c>
      <c r="F10" s="8">
        <v>1</v>
      </c>
      <c r="H10" s="70" t="s">
        <v>14</v>
      </c>
      <c r="I10" s="71">
        <v>10266.200000000001</v>
      </c>
      <c r="J10" s="71">
        <v>10266.200000000001</v>
      </c>
      <c r="K10" s="71">
        <v>18.91</v>
      </c>
      <c r="L10" s="71">
        <v>27155</v>
      </c>
      <c r="M10" s="72">
        <v>1</v>
      </c>
      <c r="O10" s="79" t="s">
        <v>26</v>
      </c>
      <c r="P10" s="80">
        <v>14842.4</v>
      </c>
      <c r="Q10" s="80">
        <v>14842.4</v>
      </c>
      <c r="R10" s="80">
        <v>80.19</v>
      </c>
      <c r="S10" s="80">
        <v>130844</v>
      </c>
      <c r="T10" s="81">
        <v>1</v>
      </c>
      <c r="V10" s="93" t="s">
        <v>38</v>
      </c>
      <c r="W10" s="94">
        <v>27872.6</v>
      </c>
      <c r="X10" s="94">
        <v>27872.6</v>
      </c>
      <c r="Y10" s="94">
        <v>33.11</v>
      </c>
      <c r="Z10" s="94">
        <v>46055</v>
      </c>
      <c r="AA10" s="95">
        <v>1</v>
      </c>
    </row>
    <row r="11" spans="1:27" x14ac:dyDescent="0.25">
      <c r="A11" s="6" t="s">
        <v>15</v>
      </c>
      <c r="B11" s="7">
        <v>10812.8</v>
      </c>
      <c r="C11" s="7">
        <v>10812.14</v>
      </c>
      <c r="D11" s="7">
        <v>4101.0600000000004</v>
      </c>
      <c r="E11" s="7">
        <v>4512344</v>
      </c>
      <c r="F11" s="8">
        <v>1</v>
      </c>
      <c r="H11" s="70" t="s">
        <v>15</v>
      </c>
      <c r="I11" s="71">
        <v>10812.8</v>
      </c>
      <c r="J11" s="71">
        <v>10765.37</v>
      </c>
      <c r="K11" s="71">
        <v>3600</v>
      </c>
      <c r="L11" s="71">
        <v>3891193</v>
      </c>
      <c r="M11" s="72">
        <v>0</v>
      </c>
      <c r="O11" s="79" t="s">
        <v>27</v>
      </c>
      <c r="P11" s="80">
        <v>14122.2</v>
      </c>
      <c r="Q11" s="80">
        <v>14122.2</v>
      </c>
      <c r="R11" s="80">
        <v>154.6</v>
      </c>
      <c r="S11" s="80">
        <v>221624</v>
      </c>
      <c r="T11" s="81">
        <v>1</v>
      </c>
      <c r="V11" s="93" t="s">
        <v>39</v>
      </c>
      <c r="W11" s="94">
        <v>24116.799999999999</v>
      </c>
      <c r="X11" s="94">
        <v>24116.799999999999</v>
      </c>
      <c r="Y11" s="94">
        <v>37.86</v>
      </c>
      <c r="Z11" s="94">
        <v>52518</v>
      </c>
      <c r="AA11" s="95">
        <v>1</v>
      </c>
    </row>
    <row r="12" spans="1:27" x14ac:dyDescent="0.25">
      <c r="A12" s="6" t="s">
        <v>16</v>
      </c>
      <c r="B12" s="7">
        <v>10290.799999999999</v>
      </c>
      <c r="C12" s="7">
        <v>10290.799999999999</v>
      </c>
      <c r="D12" s="7">
        <v>24.05</v>
      </c>
      <c r="E12" s="7">
        <v>34986</v>
      </c>
      <c r="F12" s="8">
        <v>1</v>
      </c>
      <c r="H12" s="70" t="s">
        <v>16</v>
      </c>
      <c r="I12" s="71">
        <v>10290.799999999999</v>
      </c>
      <c r="J12" s="71">
        <v>10290.799999999999</v>
      </c>
      <c r="K12" s="71">
        <v>24.05</v>
      </c>
      <c r="L12" s="71">
        <v>34986</v>
      </c>
      <c r="M12" s="72">
        <v>1</v>
      </c>
      <c r="O12" s="79" t="s">
        <v>28</v>
      </c>
      <c r="P12" s="80">
        <v>14561.2</v>
      </c>
      <c r="Q12" s="80">
        <v>14561.2</v>
      </c>
      <c r="R12" s="80">
        <v>258.14</v>
      </c>
      <c r="S12" s="80">
        <v>381585</v>
      </c>
      <c r="T12" s="81">
        <v>1</v>
      </c>
      <c r="V12" s="93" t="s">
        <v>40</v>
      </c>
      <c r="W12" s="94">
        <v>26762.400000000001</v>
      </c>
      <c r="X12" s="94">
        <v>26762.400000000001</v>
      </c>
      <c r="Y12" s="94">
        <v>25.08</v>
      </c>
      <c r="Z12" s="94">
        <v>37165</v>
      </c>
      <c r="AA12" s="95">
        <v>1</v>
      </c>
    </row>
    <row r="13" spans="1:27" ht="15.75" thickBot="1" x14ac:dyDescent="0.3">
      <c r="A13" s="9" t="s">
        <v>17</v>
      </c>
      <c r="B13" s="10">
        <v>10745.6</v>
      </c>
      <c r="C13" s="10">
        <v>10744.79</v>
      </c>
      <c r="D13" s="10">
        <v>348.33</v>
      </c>
      <c r="E13" s="10">
        <v>596846</v>
      </c>
      <c r="F13" s="11">
        <v>1</v>
      </c>
      <c r="H13" s="73" t="s">
        <v>17</v>
      </c>
      <c r="I13" s="74">
        <v>10745.6</v>
      </c>
      <c r="J13" s="74">
        <v>10744.79</v>
      </c>
      <c r="K13" s="74">
        <v>348.33</v>
      </c>
      <c r="L13" s="74">
        <v>596846</v>
      </c>
      <c r="M13" s="75">
        <v>1</v>
      </c>
      <c r="O13" s="82" t="s">
        <v>29</v>
      </c>
      <c r="P13" s="83">
        <v>13866</v>
      </c>
      <c r="Q13" s="83">
        <v>13866</v>
      </c>
      <c r="R13" s="83">
        <v>155.38999999999999</v>
      </c>
      <c r="S13" s="83">
        <v>217544</v>
      </c>
      <c r="T13" s="84">
        <v>1</v>
      </c>
      <c r="V13" s="96" t="s">
        <v>41</v>
      </c>
      <c r="W13" s="97">
        <v>24065.200000000001</v>
      </c>
      <c r="X13" s="97">
        <v>24065.200000000001</v>
      </c>
      <c r="Y13" s="97">
        <v>88.83</v>
      </c>
      <c r="Z13" s="97">
        <v>109553</v>
      </c>
      <c r="AA13" s="98">
        <v>1</v>
      </c>
    </row>
    <row r="14" spans="1:27" ht="15.75" thickBot="1" x14ac:dyDescent="0.3">
      <c r="A14" s="12" t="s">
        <v>18</v>
      </c>
      <c r="B14" s="13">
        <v>13194.8</v>
      </c>
      <c r="C14" s="13">
        <v>13194.8</v>
      </c>
      <c r="D14" s="13">
        <v>96.57</v>
      </c>
      <c r="E14" s="13">
        <v>135442</v>
      </c>
      <c r="F14" s="14">
        <v>1</v>
      </c>
      <c r="H14" s="86" t="s">
        <v>115</v>
      </c>
      <c r="I14" s="87">
        <f>AVERAGE(I2:I13)</f>
        <v>9680.2000000000007</v>
      </c>
      <c r="J14" s="87">
        <f t="shared" ref="J14:L14" si="0">AVERAGE(J2:J13)</f>
        <v>9676.1066666666666</v>
      </c>
      <c r="K14" s="87">
        <f t="shared" si="0"/>
        <v>380.41083333333336</v>
      </c>
      <c r="L14" s="87">
        <f t="shared" si="0"/>
        <v>461115.58333333331</v>
      </c>
      <c r="M14" s="88">
        <f>SUM(M2:M13)</f>
        <v>11</v>
      </c>
      <c r="O14" s="112" t="s">
        <v>116</v>
      </c>
      <c r="P14" s="87">
        <f>AVERAGE(P2:P13)</f>
        <v>13530.833333333334</v>
      </c>
      <c r="Q14" s="87">
        <f t="shared" ref="Q14:S14" si="1">AVERAGE(Q2:Q13)</f>
        <v>13530.819166666668</v>
      </c>
      <c r="R14" s="87">
        <f t="shared" si="1"/>
        <v>135.27416666666667</v>
      </c>
      <c r="S14" s="87">
        <f t="shared" si="1"/>
        <v>202126.83333333334</v>
      </c>
      <c r="T14" s="88">
        <f>SUM(T2:T13)</f>
        <v>12</v>
      </c>
      <c r="V14" s="112" t="s">
        <v>117</v>
      </c>
      <c r="W14" s="87">
        <f>AVERAGE(W2:W13)</f>
        <v>24430.291666666668</v>
      </c>
      <c r="X14" s="87">
        <f t="shared" ref="X14:Z14" si="2">AVERAGE(X2:X13)</f>
        <v>24430.198333333334</v>
      </c>
      <c r="Y14" s="87">
        <f t="shared" si="2"/>
        <v>27.545833333333334</v>
      </c>
      <c r="Z14" s="87">
        <f t="shared" si="2"/>
        <v>34310.666666666664</v>
      </c>
      <c r="AA14" s="88">
        <f>SUM(AA2:AA13)</f>
        <v>12</v>
      </c>
    </row>
    <row r="15" spans="1:27" x14ac:dyDescent="0.25">
      <c r="A15" s="15" t="s">
        <v>19</v>
      </c>
      <c r="B15" s="16">
        <v>12131.4</v>
      </c>
      <c r="C15" s="16">
        <v>12131.4</v>
      </c>
      <c r="D15" s="16">
        <v>29.89</v>
      </c>
      <c r="E15" s="16">
        <v>53815</v>
      </c>
      <c r="F15" s="17">
        <v>1</v>
      </c>
    </row>
    <row r="16" spans="1:27" x14ac:dyDescent="0.25">
      <c r="A16" s="15" t="s">
        <v>20</v>
      </c>
      <c r="B16" s="16">
        <v>13018.4</v>
      </c>
      <c r="C16" s="16">
        <v>13018.4</v>
      </c>
      <c r="D16" s="16">
        <v>27.2</v>
      </c>
      <c r="E16" s="16">
        <v>40369</v>
      </c>
      <c r="F16" s="17">
        <v>1</v>
      </c>
    </row>
    <row r="17" spans="1:27" ht="15.75" thickBot="1" x14ac:dyDescent="0.3">
      <c r="A17" s="15" t="s">
        <v>21</v>
      </c>
      <c r="B17" s="16">
        <v>11848.6</v>
      </c>
      <c r="C17" s="16">
        <v>11848.6</v>
      </c>
      <c r="D17" s="16">
        <v>16.440000000000001</v>
      </c>
      <c r="E17" s="16">
        <v>22071</v>
      </c>
      <c r="F17" s="17">
        <v>1</v>
      </c>
      <c r="H17" s="159" t="s">
        <v>0</v>
      </c>
      <c r="I17" s="159" t="s">
        <v>1</v>
      </c>
      <c r="J17" s="159" t="s">
        <v>2</v>
      </c>
      <c r="K17" s="159" t="s">
        <v>3</v>
      </c>
      <c r="L17" s="159" t="s">
        <v>4</v>
      </c>
      <c r="M17" s="159" t="s">
        <v>5</v>
      </c>
      <c r="O17" s="159" t="s">
        <v>0</v>
      </c>
      <c r="P17" s="159" t="s">
        <v>1</v>
      </c>
      <c r="Q17" s="159" t="s">
        <v>2</v>
      </c>
      <c r="R17" s="159" t="s">
        <v>3</v>
      </c>
      <c r="S17" s="159" t="s">
        <v>4</v>
      </c>
      <c r="T17" s="159" t="s">
        <v>5</v>
      </c>
      <c r="V17" s="159" t="s">
        <v>0</v>
      </c>
      <c r="W17" s="159" t="s">
        <v>1</v>
      </c>
      <c r="X17" s="159" t="s">
        <v>2</v>
      </c>
      <c r="Y17" s="159" t="s">
        <v>3</v>
      </c>
      <c r="Z17" s="159" t="s">
        <v>4</v>
      </c>
      <c r="AA17" s="159" t="s">
        <v>5</v>
      </c>
    </row>
    <row r="18" spans="1:27" x14ac:dyDescent="0.25">
      <c r="A18" s="15" t="s">
        <v>22</v>
      </c>
      <c r="B18" s="16">
        <v>14236.5</v>
      </c>
      <c r="C18" s="16">
        <v>14236.33</v>
      </c>
      <c r="D18" s="16">
        <v>401.6</v>
      </c>
      <c r="E18" s="16">
        <v>648618</v>
      </c>
      <c r="F18" s="17">
        <v>1</v>
      </c>
      <c r="H18" s="99" t="s">
        <v>42</v>
      </c>
      <c r="I18" s="99">
        <v>10622.2</v>
      </c>
      <c r="J18" s="99">
        <v>10622.2</v>
      </c>
      <c r="K18" s="99">
        <v>0.97</v>
      </c>
      <c r="L18" s="99">
        <v>1208</v>
      </c>
      <c r="M18" s="99">
        <v>1</v>
      </c>
      <c r="O18" s="100" t="s">
        <v>54</v>
      </c>
      <c r="P18" s="100">
        <v>15612.8</v>
      </c>
      <c r="Q18" s="100">
        <v>15612.8</v>
      </c>
      <c r="R18" s="100">
        <v>20.12</v>
      </c>
      <c r="S18" s="100">
        <v>29430</v>
      </c>
      <c r="T18" s="100">
        <v>1</v>
      </c>
      <c r="V18" s="101" t="s">
        <v>66</v>
      </c>
      <c r="W18" s="102">
        <v>27623.8</v>
      </c>
      <c r="X18" s="102">
        <v>27623.8</v>
      </c>
      <c r="Y18" s="102">
        <v>10.61</v>
      </c>
      <c r="Z18" s="102">
        <v>7227</v>
      </c>
      <c r="AA18" s="103">
        <v>1</v>
      </c>
    </row>
    <row r="19" spans="1:27" x14ac:dyDescent="0.25">
      <c r="A19" s="15" t="s">
        <v>23</v>
      </c>
      <c r="B19" s="16">
        <v>13151</v>
      </c>
      <c r="C19" s="16">
        <v>13151</v>
      </c>
      <c r="D19" s="16">
        <v>230.05</v>
      </c>
      <c r="E19" s="16">
        <v>339946</v>
      </c>
      <c r="F19" s="17">
        <v>1</v>
      </c>
      <c r="H19" s="99" t="s">
        <v>43</v>
      </c>
      <c r="I19" s="99">
        <v>12011</v>
      </c>
      <c r="J19" s="99">
        <v>12011</v>
      </c>
      <c r="K19" s="99">
        <v>9.08</v>
      </c>
      <c r="L19" s="99">
        <v>14709</v>
      </c>
      <c r="M19" s="99">
        <v>1</v>
      </c>
      <c r="O19" s="100" t="s">
        <v>55</v>
      </c>
      <c r="P19" s="100">
        <v>15277.6</v>
      </c>
      <c r="Q19" s="100">
        <v>15277.6</v>
      </c>
      <c r="R19" s="100">
        <v>8.7899999999999991</v>
      </c>
      <c r="S19" s="100">
        <v>6797</v>
      </c>
      <c r="T19" s="100">
        <v>1</v>
      </c>
      <c r="V19" s="104" t="s">
        <v>67</v>
      </c>
      <c r="W19" s="105">
        <v>24892.6</v>
      </c>
      <c r="X19" s="105">
        <v>24892.6</v>
      </c>
      <c r="Y19" s="105">
        <v>20.16</v>
      </c>
      <c r="Z19" s="105">
        <v>23550</v>
      </c>
      <c r="AA19" s="106">
        <v>1</v>
      </c>
    </row>
    <row r="20" spans="1:27" x14ac:dyDescent="0.25">
      <c r="A20" s="15" t="s">
        <v>24</v>
      </c>
      <c r="B20" s="16">
        <v>13902</v>
      </c>
      <c r="C20" s="16">
        <v>13902</v>
      </c>
      <c r="D20" s="16">
        <v>69.09</v>
      </c>
      <c r="E20" s="16">
        <v>87291</v>
      </c>
      <c r="F20" s="17">
        <v>1</v>
      </c>
      <c r="H20" s="99" t="s">
        <v>44</v>
      </c>
      <c r="I20" s="99">
        <v>10652.2</v>
      </c>
      <c r="J20" s="99">
        <v>10652.2</v>
      </c>
      <c r="K20" s="99">
        <v>2.93</v>
      </c>
      <c r="L20" s="99">
        <v>2954</v>
      </c>
      <c r="M20" s="99">
        <v>1</v>
      </c>
      <c r="O20" s="100" t="s">
        <v>56</v>
      </c>
      <c r="P20" s="100">
        <v>14997.8</v>
      </c>
      <c r="Q20" s="100">
        <v>14997.8</v>
      </c>
      <c r="R20" s="100">
        <v>5.07</v>
      </c>
      <c r="S20" s="100">
        <v>3283</v>
      </c>
      <c r="T20" s="100">
        <v>1</v>
      </c>
      <c r="V20" s="104" t="s">
        <v>68</v>
      </c>
      <c r="W20" s="105">
        <v>26587.4</v>
      </c>
      <c r="X20" s="105">
        <v>26587.4</v>
      </c>
      <c r="Y20" s="105">
        <v>8.99</v>
      </c>
      <c r="Z20" s="105">
        <v>1716</v>
      </c>
      <c r="AA20" s="106">
        <v>1</v>
      </c>
    </row>
    <row r="21" spans="1:27" x14ac:dyDescent="0.25">
      <c r="A21" s="15" t="s">
        <v>25</v>
      </c>
      <c r="B21" s="16">
        <v>13495.5</v>
      </c>
      <c r="C21" s="16">
        <v>13495.5</v>
      </c>
      <c r="D21" s="16">
        <v>104.13</v>
      </c>
      <c r="E21" s="16">
        <v>146373</v>
      </c>
      <c r="F21" s="17">
        <v>1</v>
      </c>
      <c r="H21" s="99" t="s">
        <v>45</v>
      </c>
      <c r="I21" s="99">
        <v>11741.6</v>
      </c>
      <c r="J21" s="99">
        <v>11741.6</v>
      </c>
      <c r="K21" s="99">
        <v>6.56</v>
      </c>
      <c r="L21" s="99">
        <v>10156</v>
      </c>
      <c r="M21" s="99">
        <v>1</v>
      </c>
      <c r="O21" s="100" t="s">
        <v>57</v>
      </c>
      <c r="P21" s="100">
        <v>15176.6</v>
      </c>
      <c r="Q21" s="100">
        <v>15176.6</v>
      </c>
      <c r="R21" s="100">
        <v>17.579999999999998</v>
      </c>
      <c r="S21" s="100">
        <v>28142</v>
      </c>
      <c r="T21" s="100">
        <v>1</v>
      </c>
      <c r="V21" s="104" t="s">
        <v>69</v>
      </c>
      <c r="W21" s="105">
        <v>24252.400000000001</v>
      </c>
      <c r="X21" s="105">
        <v>24252.400000000001</v>
      </c>
      <c r="Y21" s="105">
        <v>16.29</v>
      </c>
      <c r="Z21" s="105">
        <v>13363</v>
      </c>
      <c r="AA21" s="106">
        <v>1</v>
      </c>
    </row>
    <row r="22" spans="1:27" x14ac:dyDescent="0.25">
      <c r="A22" s="15" t="s">
        <v>26</v>
      </c>
      <c r="B22" s="16">
        <v>14842.4</v>
      </c>
      <c r="C22" s="16">
        <v>14842.4</v>
      </c>
      <c r="D22" s="16">
        <v>80.19</v>
      </c>
      <c r="E22" s="16">
        <v>130844</v>
      </c>
      <c r="F22" s="17">
        <v>1</v>
      </c>
      <c r="H22" s="99" t="s">
        <v>46</v>
      </c>
      <c r="I22" s="99">
        <v>12249.5</v>
      </c>
      <c r="J22" s="99">
        <v>12249.5</v>
      </c>
      <c r="K22" s="99">
        <v>5.49</v>
      </c>
      <c r="L22" s="99">
        <v>8113</v>
      </c>
      <c r="M22" s="99">
        <v>1</v>
      </c>
      <c r="O22" s="100" t="s">
        <v>58</v>
      </c>
      <c r="P22" s="100">
        <v>16782</v>
      </c>
      <c r="Q22" s="100">
        <v>16782</v>
      </c>
      <c r="R22" s="100">
        <v>26.59</v>
      </c>
      <c r="S22" s="100">
        <v>39185</v>
      </c>
      <c r="T22" s="100">
        <v>1</v>
      </c>
      <c r="V22" s="104" t="s">
        <v>70</v>
      </c>
      <c r="W22" s="105">
        <v>29328.5</v>
      </c>
      <c r="X22" s="105">
        <v>29328.5</v>
      </c>
      <c r="Y22" s="105">
        <v>22.08</v>
      </c>
      <c r="Z22" s="105">
        <v>21504</v>
      </c>
      <c r="AA22" s="106">
        <v>1</v>
      </c>
    </row>
    <row r="23" spans="1:27" x14ac:dyDescent="0.25">
      <c r="A23" s="15" t="s">
        <v>27</v>
      </c>
      <c r="B23" s="16">
        <v>14122.2</v>
      </c>
      <c r="C23" s="16">
        <v>14122.2</v>
      </c>
      <c r="D23" s="16">
        <v>154.6</v>
      </c>
      <c r="E23" s="16">
        <v>221624</v>
      </c>
      <c r="F23" s="17">
        <v>1</v>
      </c>
      <c r="H23" s="99" t="s">
        <v>47</v>
      </c>
      <c r="I23" s="99">
        <v>13845</v>
      </c>
      <c r="J23" s="99">
        <v>13845</v>
      </c>
      <c r="K23" s="99">
        <v>44.13</v>
      </c>
      <c r="L23" s="99">
        <v>62977</v>
      </c>
      <c r="M23" s="99">
        <v>1</v>
      </c>
      <c r="O23" s="100" t="s">
        <v>59</v>
      </c>
      <c r="P23" s="100">
        <v>17102.5</v>
      </c>
      <c r="Q23" s="100">
        <v>17102.5</v>
      </c>
      <c r="R23" s="100">
        <v>165.8</v>
      </c>
      <c r="S23" s="100">
        <v>278770</v>
      </c>
      <c r="T23" s="100">
        <v>1</v>
      </c>
      <c r="V23" s="104" t="s">
        <v>71</v>
      </c>
      <c r="W23" s="105">
        <v>26961.5</v>
      </c>
      <c r="X23" s="105">
        <v>26961.5</v>
      </c>
      <c r="Y23" s="105">
        <v>68.53</v>
      </c>
      <c r="Z23" s="105">
        <v>94809</v>
      </c>
      <c r="AA23" s="106">
        <v>1</v>
      </c>
    </row>
    <row r="24" spans="1:27" x14ac:dyDescent="0.25">
      <c r="A24" s="15" t="s">
        <v>28</v>
      </c>
      <c r="B24" s="16">
        <v>14561.2</v>
      </c>
      <c r="C24" s="16">
        <v>14561.2</v>
      </c>
      <c r="D24" s="16">
        <v>258.14</v>
      </c>
      <c r="E24" s="16">
        <v>381585</v>
      </c>
      <c r="F24" s="17">
        <v>1</v>
      </c>
      <c r="H24" s="99" t="s">
        <v>48</v>
      </c>
      <c r="I24" s="99">
        <v>12309</v>
      </c>
      <c r="J24" s="99">
        <v>12309</v>
      </c>
      <c r="K24" s="99">
        <v>2.77</v>
      </c>
      <c r="L24" s="99">
        <v>2013</v>
      </c>
      <c r="M24" s="99">
        <v>1</v>
      </c>
      <c r="O24" s="100" t="s">
        <v>60</v>
      </c>
      <c r="P24" s="100">
        <v>16557</v>
      </c>
      <c r="Q24" s="100">
        <v>16557</v>
      </c>
      <c r="R24" s="100">
        <v>24.34</v>
      </c>
      <c r="S24" s="100">
        <v>36510</v>
      </c>
      <c r="T24" s="100">
        <v>1</v>
      </c>
      <c r="V24" s="104" t="s">
        <v>72</v>
      </c>
      <c r="W24" s="105">
        <v>28484</v>
      </c>
      <c r="X24" s="105">
        <v>28484</v>
      </c>
      <c r="Y24" s="105">
        <v>11.77</v>
      </c>
      <c r="Z24" s="105">
        <v>4155</v>
      </c>
      <c r="AA24" s="106">
        <v>1</v>
      </c>
    </row>
    <row r="25" spans="1:27" ht="15.75" thickBot="1" x14ac:dyDescent="0.3">
      <c r="A25" s="18" t="s">
        <v>29</v>
      </c>
      <c r="B25" s="19">
        <v>13866</v>
      </c>
      <c r="C25" s="19">
        <v>13866</v>
      </c>
      <c r="D25" s="19">
        <v>155.38999999999999</v>
      </c>
      <c r="E25" s="19">
        <v>217544</v>
      </c>
      <c r="F25" s="20">
        <v>1</v>
      </c>
      <c r="H25" s="99" t="s">
        <v>49</v>
      </c>
      <c r="I25" s="99">
        <v>13627</v>
      </c>
      <c r="J25" s="99">
        <v>13627</v>
      </c>
      <c r="K25" s="99">
        <v>18.309999999999999</v>
      </c>
      <c r="L25" s="99">
        <v>31386</v>
      </c>
      <c r="M25" s="99">
        <v>1</v>
      </c>
      <c r="O25" s="100" t="s">
        <v>61</v>
      </c>
      <c r="P25" s="100">
        <v>17218</v>
      </c>
      <c r="Q25" s="100">
        <v>17218</v>
      </c>
      <c r="R25" s="100">
        <v>75.680000000000007</v>
      </c>
      <c r="S25" s="100">
        <v>128596</v>
      </c>
      <c r="T25" s="100">
        <v>1</v>
      </c>
      <c r="V25" s="104" t="s">
        <v>73</v>
      </c>
      <c r="W25" s="105">
        <v>27019</v>
      </c>
      <c r="X25" s="105">
        <v>27019</v>
      </c>
      <c r="Y25" s="105">
        <v>32.65</v>
      </c>
      <c r="Z25" s="105">
        <v>46765</v>
      </c>
      <c r="AA25" s="106">
        <v>1</v>
      </c>
    </row>
    <row r="26" spans="1:27" x14ac:dyDescent="0.25">
      <c r="A26" s="21" t="s">
        <v>30</v>
      </c>
      <c r="B26" s="22">
        <v>25657.200000000001</v>
      </c>
      <c r="C26" s="22">
        <v>25657.200000000001</v>
      </c>
      <c r="D26" s="22">
        <v>12.96</v>
      </c>
      <c r="E26" s="22">
        <v>9706</v>
      </c>
      <c r="F26" s="23">
        <v>1</v>
      </c>
      <c r="H26" s="99" t="s">
        <v>50</v>
      </c>
      <c r="I26" s="99">
        <v>13348</v>
      </c>
      <c r="J26" s="99">
        <v>13348</v>
      </c>
      <c r="K26" s="99">
        <v>7.18</v>
      </c>
      <c r="L26" s="99">
        <v>7799</v>
      </c>
      <c r="M26" s="99">
        <v>1</v>
      </c>
      <c r="O26" s="100" t="s">
        <v>62</v>
      </c>
      <c r="P26" s="100">
        <v>18023.8</v>
      </c>
      <c r="Q26" s="100">
        <v>18023.8</v>
      </c>
      <c r="R26" s="100">
        <v>62.41</v>
      </c>
      <c r="S26" s="100">
        <v>108486</v>
      </c>
      <c r="T26" s="100">
        <v>1</v>
      </c>
      <c r="V26" s="104" t="s">
        <v>74</v>
      </c>
      <c r="W26" s="105">
        <v>30515.4</v>
      </c>
      <c r="X26" s="105">
        <v>30515.4</v>
      </c>
      <c r="Y26" s="105">
        <v>17.5</v>
      </c>
      <c r="Z26" s="105">
        <v>20076</v>
      </c>
      <c r="AA26" s="106">
        <v>1</v>
      </c>
    </row>
    <row r="27" spans="1:27" x14ac:dyDescent="0.25">
      <c r="A27" s="24" t="s">
        <v>31</v>
      </c>
      <c r="B27" s="25">
        <v>21247.4</v>
      </c>
      <c r="C27" s="25">
        <v>21246.28</v>
      </c>
      <c r="D27" s="25">
        <v>12.52</v>
      </c>
      <c r="E27" s="25">
        <v>11438</v>
      </c>
      <c r="F27" s="26">
        <v>1</v>
      </c>
      <c r="H27" s="99" t="s">
        <v>51</v>
      </c>
      <c r="I27" s="99">
        <v>15030.8</v>
      </c>
      <c r="J27" s="99">
        <v>15030.8</v>
      </c>
      <c r="K27" s="99">
        <v>13.19</v>
      </c>
      <c r="L27" s="99">
        <v>18828</v>
      </c>
      <c r="M27" s="99">
        <v>1</v>
      </c>
      <c r="O27" s="100" t="s">
        <v>63</v>
      </c>
      <c r="P27" s="100">
        <v>18780.2</v>
      </c>
      <c r="Q27" s="100">
        <v>18779.400000000001</v>
      </c>
      <c r="R27" s="100">
        <v>1261.25</v>
      </c>
      <c r="S27" s="100">
        <v>1954119</v>
      </c>
      <c r="T27" s="100">
        <v>1</v>
      </c>
      <c r="V27" s="104" t="s">
        <v>75</v>
      </c>
      <c r="W27" s="105">
        <v>28758.400000000001</v>
      </c>
      <c r="X27" s="105">
        <v>28758.400000000001</v>
      </c>
      <c r="Y27" s="105">
        <v>124.89</v>
      </c>
      <c r="Z27" s="105">
        <v>153921</v>
      </c>
      <c r="AA27" s="106">
        <v>1</v>
      </c>
    </row>
    <row r="28" spans="1:27" x14ac:dyDescent="0.25">
      <c r="A28" s="24" t="s">
        <v>32</v>
      </c>
      <c r="B28" s="25">
        <v>24364.400000000001</v>
      </c>
      <c r="C28" s="25">
        <v>24364.400000000001</v>
      </c>
      <c r="D28" s="25">
        <v>8.58</v>
      </c>
      <c r="E28" s="25">
        <v>3476</v>
      </c>
      <c r="F28" s="26">
        <v>1</v>
      </c>
      <c r="H28" s="99" t="s">
        <v>52</v>
      </c>
      <c r="I28" s="99">
        <v>13635.6</v>
      </c>
      <c r="J28" s="99">
        <v>13635.6</v>
      </c>
      <c r="K28" s="99">
        <v>5.54</v>
      </c>
      <c r="L28" s="99">
        <v>5566</v>
      </c>
      <c r="M28" s="99">
        <v>1</v>
      </c>
      <c r="O28" s="100" t="s">
        <v>64</v>
      </c>
      <c r="P28" s="100">
        <v>17742.8</v>
      </c>
      <c r="Q28" s="100">
        <v>17742.8</v>
      </c>
      <c r="R28" s="100">
        <v>9.7899999999999991</v>
      </c>
      <c r="S28" s="100">
        <v>6770</v>
      </c>
      <c r="T28" s="100">
        <v>1</v>
      </c>
      <c r="V28" s="104" t="s">
        <v>76</v>
      </c>
      <c r="W28" s="105">
        <v>29864.6</v>
      </c>
      <c r="X28" s="105">
        <v>29864.6</v>
      </c>
      <c r="Y28" s="105">
        <v>15.19</v>
      </c>
      <c r="Z28" s="105">
        <v>12832</v>
      </c>
      <c r="AA28" s="106">
        <v>1</v>
      </c>
    </row>
    <row r="29" spans="1:27" ht="15.75" thickBot="1" x14ac:dyDescent="0.3">
      <c r="A29" s="24" t="s">
        <v>33</v>
      </c>
      <c r="B29" s="25">
        <v>20329</v>
      </c>
      <c r="C29" s="25">
        <v>20329</v>
      </c>
      <c r="D29" s="25">
        <v>12.53</v>
      </c>
      <c r="E29" s="25">
        <v>11511</v>
      </c>
      <c r="F29" s="26">
        <v>1</v>
      </c>
      <c r="H29" s="110" t="s">
        <v>53</v>
      </c>
      <c r="I29" s="110">
        <v>15051.8</v>
      </c>
      <c r="J29" s="110">
        <v>15051.8</v>
      </c>
      <c r="K29" s="110">
        <v>35.86</v>
      </c>
      <c r="L29" s="110">
        <v>77125</v>
      </c>
      <c r="M29" s="110">
        <v>1</v>
      </c>
      <c r="O29" s="111" t="s">
        <v>65</v>
      </c>
      <c r="P29" s="111">
        <v>18646.599999999999</v>
      </c>
      <c r="Q29" s="111">
        <v>18646.599999999999</v>
      </c>
      <c r="R29" s="111">
        <v>112.53</v>
      </c>
      <c r="S29" s="111">
        <v>168656</v>
      </c>
      <c r="T29" s="111">
        <v>1</v>
      </c>
      <c r="V29" s="107" t="s">
        <v>77</v>
      </c>
      <c r="W29" s="108">
        <v>28195.200000000001</v>
      </c>
      <c r="X29" s="108">
        <v>28195.200000000001</v>
      </c>
      <c r="Y29" s="108">
        <v>56.08</v>
      </c>
      <c r="Z29" s="108">
        <v>76656</v>
      </c>
      <c r="AA29" s="109">
        <v>1</v>
      </c>
    </row>
    <row r="30" spans="1:27" ht="15.75" thickBot="1" x14ac:dyDescent="0.3">
      <c r="A30" s="24" t="s">
        <v>34</v>
      </c>
      <c r="B30" s="25">
        <v>26561</v>
      </c>
      <c r="C30" s="25">
        <v>26561</v>
      </c>
      <c r="D30" s="25">
        <v>21.46</v>
      </c>
      <c r="E30" s="25">
        <v>31647</v>
      </c>
      <c r="F30" s="26">
        <v>1</v>
      </c>
      <c r="H30" s="112" t="s">
        <v>118</v>
      </c>
      <c r="I30" s="87">
        <f>AVERAGE(I18:I29)</f>
        <v>12843.641666666665</v>
      </c>
      <c r="J30" s="87">
        <f t="shared" ref="J30:L30" si="3">AVERAGE(J18:J29)</f>
        <v>12843.641666666665</v>
      </c>
      <c r="K30" s="87">
        <f t="shared" si="3"/>
        <v>12.667499999999999</v>
      </c>
      <c r="L30" s="87">
        <f t="shared" si="3"/>
        <v>20236.166666666668</v>
      </c>
      <c r="M30" s="88">
        <f>SUM(M18:M29)</f>
        <v>12</v>
      </c>
      <c r="O30" s="86" t="s">
        <v>119</v>
      </c>
      <c r="P30" s="87">
        <f>AVERAGE(P18:P29)</f>
        <v>16826.474999999999</v>
      </c>
      <c r="Q30" s="87">
        <f t="shared" ref="Q30:S30" si="4">AVERAGE(Q18:Q29)</f>
        <v>16826.408333333329</v>
      </c>
      <c r="R30" s="87">
        <f t="shared" si="4"/>
        <v>149.16249999999999</v>
      </c>
      <c r="S30" s="87">
        <f t="shared" si="4"/>
        <v>232395.33333333334</v>
      </c>
      <c r="T30" s="88">
        <f>SUM(T18:T29)</f>
        <v>12</v>
      </c>
      <c r="V30" s="86" t="s">
        <v>120</v>
      </c>
      <c r="W30" s="87">
        <f>AVERAGE(W18:W29)</f>
        <v>27706.899999999998</v>
      </c>
      <c r="X30" s="87">
        <f t="shared" ref="X30:Z30" si="5">AVERAGE(X18:X29)</f>
        <v>27706.899999999998</v>
      </c>
      <c r="Y30" s="87">
        <f t="shared" si="5"/>
        <v>33.728333333333332</v>
      </c>
      <c r="Z30" s="87">
        <f t="shared" si="5"/>
        <v>39714.5</v>
      </c>
      <c r="AA30" s="88">
        <f>SUM(AA18:AA29)</f>
        <v>12</v>
      </c>
    </row>
    <row r="31" spans="1:27" x14ac:dyDescent="0.25">
      <c r="A31" s="24" t="s">
        <v>35</v>
      </c>
      <c r="B31" s="25">
        <v>22332.5</v>
      </c>
      <c r="C31" s="25">
        <v>22332.5</v>
      </c>
      <c r="D31" s="25">
        <v>39.43</v>
      </c>
      <c r="E31" s="25">
        <v>58930</v>
      </c>
      <c r="F31" s="26">
        <v>1</v>
      </c>
    </row>
    <row r="32" spans="1:27" x14ac:dyDescent="0.25">
      <c r="A32" s="24" t="s">
        <v>36</v>
      </c>
      <c r="B32" s="25">
        <v>26625.5</v>
      </c>
      <c r="C32" s="25">
        <v>26625.5</v>
      </c>
      <c r="D32" s="25">
        <v>19.62</v>
      </c>
      <c r="E32" s="25">
        <v>18933</v>
      </c>
      <c r="F32" s="26">
        <v>1</v>
      </c>
    </row>
    <row r="33" spans="1:27" ht="15.75" thickBot="1" x14ac:dyDescent="0.3">
      <c r="A33" s="24" t="s">
        <v>37</v>
      </c>
      <c r="B33" s="25">
        <v>23229.5</v>
      </c>
      <c r="C33" s="25">
        <v>23229.5</v>
      </c>
      <c r="D33" s="25">
        <v>18.57</v>
      </c>
      <c r="E33" s="25">
        <v>20796</v>
      </c>
      <c r="F33" s="26">
        <v>1</v>
      </c>
      <c r="H33" s="159" t="s">
        <v>0</v>
      </c>
      <c r="I33" s="159" t="s">
        <v>1</v>
      </c>
      <c r="J33" s="159" t="s">
        <v>2</v>
      </c>
      <c r="K33" s="159" t="s">
        <v>3</v>
      </c>
      <c r="L33" s="159" t="s">
        <v>4</v>
      </c>
      <c r="M33" s="159" t="s">
        <v>5</v>
      </c>
      <c r="O33" s="159" t="s">
        <v>0</v>
      </c>
      <c r="P33" s="159" t="s">
        <v>1</v>
      </c>
      <c r="Q33" s="159" t="s">
        <v>2</v>
      </c>
      <c r="R33" s="159" t="s">
        <v>3</v>
      </c>
      <c r="S33" s="159" t="s">
        <v>4</v>
      </c>
      <c r="T33" s="159" t="s">
        <v>5</v>
      </c>
      <c r="V33" s="159" t="s">
        <v>0</v>
      </c>
      <c r="W33" s="159" t="s">
        <v>1</v>
      </c>
      <c r="X33" s="159" t="s">
        <v>2</v>
      </c>
      <c r="Y33" s="159" t="s">
        <v>3</v>
      </c>
      <c r="Z33" s="159" t="s">
        <v>4</v>
      </c>
      <c r="AA33" s="159" t="s">
        <v>5</v>
      </c>
    </row>
    <row r="34" spans="1:27" x14ac:dyDescent="0.25">
      <c r="A34" s="24" t="s">
        <v>38</v>
      </c>
      <c r="B34" s="25">
        <v>27872.6</v>
      </c>
      <c r="C34" s="25">
        <v>27872.6</v>
      </c>
      <c r="D34" s="25">
        <v>33.11</v>
      </c>
      <c r="E34" s="25">
        <v>46055</v>
      </c>
      <c r="F34" s="26">
        <v>1</v>
      </c>
      <c r="H34" s="113" t="s">
        <v>78</v>
      </c>
      <c r="I34" s="114">
        <v>14443.4</v>
      </c>
      <c r="J34" s="114">
        <v>14443.4</v>
      </c>
      <c r="K34" s="114">
        <v>0.51</v>
      </c>
      <c r="L34" s="114">
        <v>119</v>
      </c>
      <c r="M34" s="115">
        <v>1</v>
      </c>
      <c r="O34" s="122" t="s">
        <v>90</v>
      </c>
      <c r="P34" s="123">
        <v>19646</v>
      </c>
      <c r="Q34" s="123">
        <v>19646</v>
      </c>
      <c r="R34" s="123">
        <v>1.62</v>
      </c>
      <c r="S34" s="123">
        <v>1108</v>
      </c>
      <c r="T34" s="124">
        <v>1</v>
      </c>
      <c r="V34" s="131" t="s">
        <v>102</v>
      </c>
      <c r="W34" s="132">
        <v>32952.400000000001</v>
      </c>
      <c r="X34" s="132">
        <v>32952.400000000001</v>
      </c>
      <c r="Y34" s="132">
        <v>5.04</v>
      </c>
      <c r="Z34" s="132">
        <v>996</v>
      </c>
      <c r="AA34" s="133">
        <v>1</v>
      </c>
    </row>
    <row r="35" spans="1:27" x14ac:dyDescent="0.25">
      <c r="A35" s="24" t="s">
        <v>39</v>
      </c>
      <c r="B35" s="25">
        <v>24116.799999999999</v>
      </c>
      <c r="C35" s="25">
        <v>24116.799999999999</v>
      </c>
      <c r="D35" s="25">
        <v>37.86</v>
      </c>
      <c r="E35" s="25">
        <v>52518</v>
      </c>
      <c r="F35" s="26">
        <v>1</v>
      </c>
      <c r="H35" s="116" t="s">
        <v>79</v>
      </c>
      <c r="I35" s="117">
        <v>18364</v>
      </c>
      <c r="J35" s="117">
        <v>18364</v>
      </c>
      <c r="K35" s="117">
        <v>2.16</v>
      </c>
      <c r="L35" s="117">
        <v>2599</v>
      </c>
      <c r="M35" s="118">
        <v>1</v>
      </c>
      <c r="O35" s="125" t="s">
        <v>91</v>
      </c>
      <c r="P35" s="126">
        <v>22567.599999999999</v>
      </c>
      <c r="Q35" s="126">
        <v>22567.599999999999</v>
      </c>
      <c r="R35" s="126">
        <v>4.4000000000000004</v>
      </c>
      <c r="S35" s="126">
        <v>1282</v>
      </c>
      <c r="T35" s="127">
        <v>1</v>
      </c>
      <c r="V35" s="134" t="s">
        <v>103</v>
      </c>
      <c r="W35" s="135">
        <v>33332.199999999997</v>
      </c>
      <c r="X35" s="135">
        <v>33332.199999999997</v>
      </c>
      <c r="Y35" s="135">
        <v>4.87</v>
      </c>
      <c r="Z35" s="135">
        <v>2097</v>
      </c>
      <c r="AA35" s="136">
        <v>1</v>
      </c>
    </row>
    <row r="36" spans="1:27" x14ac:dyDescent="0.25">
      <c r="A36" s="24" t="s">
        <v>40</v>
      </c>
      <c r="B36" s="25">
        <v>26762.400000000001</v>
      </c>
      <c r="C36" s="25">
        <v>26762.400000000001</v>
      </c>
      <c r="D36" s="25">
        <v>25.08</v>
      </c>
      <c r="E36" s="25">
        <v>37165</v>
      </c>
      <c r="F36" s="26">
        <v>1</v>
      </c>
      <c r="H36" s="116" t="s">
        <v>80</v>
      </c>
      <c r="I36" s="117">
        <v>14954</v>
      </c>
      <c r="J36" s="117">
        <v>14954</v>
      </c>
      <c r="K36" s="117">
        <v>0.5</v>
      </c>
      <c r="L36" s="117">
        <v>239</v>
      </c>
      <c r="M36" s="118">
        <v>1</v>
      </c>
      <c r="O36" s="125" t="s">
        <v>92</v>
      </c>
      <c r="P36" s="126">
        <v>19880.400000000001</v>
      </c>
      <c r="Q36" s="126">
        <v>19880.400000000001</v>
      </c>
      <c r="R36" s="126">
        <v>2.41</v>
      </c>
      <c r="S36" s="126">
        <v>1447</v>
      </c>
      <c r="T36" s="127">
        <v>1</v>
      </c>
      <c r="V36" s="134" t="s">
        <v>104</v>
      </c>
      <c r="W36" s="135">
        <v>33072.400000000001</v>
      </c>
      <c r="X36" s="135">
        <v>33072.400000000001</v>
      </c>
      <c r="Y36" s="135">
        <v>4.7699999999999996</v>
      </c>
      <c r="Z36" s="135">
        <v>1521</v>
      </c>
      <c r="AA36" s="136">
        <v>1</v>
      </c>
    </row>
    <row r="37" spans="1:27" ht="15.75" thickBot="1" x14ac:dyDescent="0.3">
      <c r="A37" s="27" t="s">
        <v>41</v>
      </c>
      <c r="B37" s="28">
        <v>24065.200000000001</v>
      </c>
      <c r="C37" s="28">
        <v>24065.200000000001</v>
      </c>
      <c r="D37" s="28">
        <v>88.83</v>
      </c>
      <c r="E37" s="28">
        <v>109553</v>
      </c>
      <c r="F37" s="29">
        <v>1</v>
      </c>
      <c r="H37" s="116" t="s">
        <v>81</v>
      </c>
      <c r="I37" s="117">
        <v>17857.8</v>
      </c>
      <c r="J37" s="117">
        <v>17857.8</v>
      </c>
      <c r="K37" s="117">
        <v>0.55000000000000004</v>
      </c>
      <c r="L37" s="117">
        <v>303</v>
      </c>
      <c r="M37" s="118">
        <v>1</v>
      </c>
      <c r="O37" s="125" t="s">
        <v>93</v>
      </c>
      <c r="P37" s="126">
        <v>22483.8</v>
      </c>
      <c r="Q37" s="126">
        <v>22483.78</v>
      </c>
      <c r="R37" s="126">
        <v>3.32</v>
      </c>
      <c r="S37" s="126">
        <v>1155</v>
      </c>
      <c r="T37" s="127">
        <v>1</v>
      </c>
      <c r="V37" s="134" t="s">
        <v>105</v>
      </c>
      <c r="W37" s="135">
        <v>33115</v>
      </c>
      <c r="X37" s="135">
        <v>33115</v>
      </c>
      <c r="Y37" s="135">
        <v>4.6399999999999997</v>
      </c>
      <c r="Z37" s="135">
        <v>2118</v>
      </c>
      <c r="AA37" s="136">
        <v>1</v>
      </c>
    </row>
    <row r="38" spans="1:27" x14ac:dyDescent="0.25">
      <c r="A38" s="30" t="s">
        <v>42</v>
      </c>
      <c r="B38" s="30">
        <v>10622.2</v>
      </c>
      <c r="C38" s="30">
        <v>10622.2</v>
      </c>
      <c r="D38" s="30">
        <v>0.97</v>
      </c>
      <c r="E38" s="30">
        <v>1208</v>
      </c>
      <c r="F38" s="30">
        <v>1</v>
      </c>
      <c r="H38" s="116" t="s">
        <v>82</v>
      </c>
      <c r="I38" s="117">
        <v>18546</v>
      </c>
      <c r="J38" s="117">
        <v>18546</v>
      </c>
      <c r="K38" s="117">
        <v>0.79</v>
      </c>
      <c r="L38" s="117">
        <v>648</v>
      </c>
      <c r="M38" s="118">
        <v>1</v>
      </c>
      <c r="O38" s="125" t="s">
        <v>94</v>
      </c>
      <c r="P38" s="126">
        <v>23013.5</v>
      </c>
      <c r="Q38" s="126">
        <v>23013.5</v>
      </c>
      <c r="R38" s="126">
        <v>3.23</v>
      </c>
      <c r="S38" s="126">
        <v>1949</v>
      </c>
      <c r="T38" s="127">
        <v>1</v>
      </c>
      <c r="V38" s="134" t="s">
        <v>106</v>
      </c>
      <c r="W38" s="135">
        <v>36286</v>
      </c>
      <c r="X38" s="135">
        <v>36286</v>
      </c>
      <c r="Y38" s="135">
        <v>5.86</v>
      </c>
      <c r="Z38" s="135">
        <v>2346</v>
      </c>
      <c r="AA38" s="136">
        <v>1</v>
      </c>
    </row>
    <row r="39" spans="1:27" x14ac:dyDescent="0.25">
      <c r="A39" s="30" t="s">
        <v>43</v>
      </c>
      <c r="B39" s="30">
        <v>12011</v>
      </c>
      <c r="C39" s="30">
        <v>12011</v>
      </c>
      <c r="D39" s="30">
        <v>9.08</v>
      </c>
      <c r="E39" s="30">
        <v>14709</v>
      </c>
      <c r="F39" s="30">
        <v>1</v>
      </c>
      <c r="H39" s="116" t="s">
        <v>83</v>
      </c>
      <c r="I39" s="117">
        <v>23069.5</v>
      </c>
      <c r="J39" s="117">
        <v>23069.5</v>
      </c>
      <c r="K39" s="117">
        <v>6.19</v>
      </c>
      <c r="L39" s="117">
        <v>5839</v>
      </c>
      <c r="M39" s="118">
        <v>1</v>
      </c>
      <c r="O39" s="125" t="s">
        <v>95</v>
      </c>
      <c r="P39" s="126">
        <v>27076</v>
      </c>
      <c r="Q39" s="126">
        <v>27076</v>
      </c>
      <c r="R39" s="126">
        <v>5.31</v>
      </c>
      <c r="S39" s="126">
        <v>2878</v>
      </c>
      <c r="T39" s="127">
        <v>1</v>
      </c>
      <c r="V39" s="134" t="s">
        <v>107</v>
      </c>
      <c r="W39" s="135">
        <v>37205.5</v>
      </c>
      <c r="X39" s="135">
        <v>37205.5</v>
      </c>
      <c r="Y39" s="135">
        <v>10.84</v>
      </c>
      <c r="Z39" s="135">
        <v>5179</v>
      </c>
      <c r="AA39" s="136">
        <v>1</v>
      </c>
    </row>
    <row r="40" spans="1:27" x14ac:dyDescent="0.25">
      <c r="A40" s="30" t="s">
        <v>44</v>
      </c>
      <c r="B40" s="30">
        <v>10652.2</v>
      </c>
      <c r="C40" s="30">
        <v>10652.2</v>
      </c>
      <c r="D40" s="30">
        <v>2.93</v>
      </c>
      <c r="E40" s="30">
        <v>2954</v>
      </c>
      <c r="F40" s="30">
        <v>1</v>
      </c>
      <c r="H40" s="116" t="s">
        <v>84</v>
      </c>
      <c r="I40" s="117">
        <v>18657.5</v>
      </c>
      <c r="J40" s="117">
        <v>18657.5</v>
      </c>
      <c r="K40" s="117">
        <v>1.05</v>
      </c>
      <c r="L40" s="117">
        <v>1236</v>
      </c>
      <c r="M40" s="118">
        <v>1</v>
      </c>
      <c r="O40" s="125" t="s">
        <v>96</v>
      </c>
      <c r="P40" s="126">
        <v>22706.5</v>
      </c>
      <c r="Q40" s="126">
        <v>22706.5</v>
      </c>
      <c r="R40" s="126">
        <v>1.63</v>
      </c>
      <c r="S40" s="126">
        <v>1425</v>
      </c>
      <c r="T40" s="127">
        <v>1</v>
      </c>
      <c r="V40" s="134" t="s">
        <v>108</v>
      </c>
      <c r="W40" s="135">
        <v>36173.5</v>
      </c>
      <c r="X40" s="135">
        <v>36173.5</v>
      </c>
      <c r="Y40" s="135">
        <v>4.32</v>
      </c>
      <c r="Z40" s="135">
        <v>1170</v>
      </c>
      <c r="AA40" s="136">
        <v>1</v>
      </c>
    </row>
    <row r="41" spans="1:27" x14ac:dyDescent="0.25">
      <c r="A41" s="30" t="s">
        <v>45</v>
      </c>
      <c r="B41" s="30">
        <v>11741.6</v>
      </c>
      <c r="C41" s="30">
        <v>11741.6</v>
      </c>
      <c r="D41" s="30">
        <v>6.56</v>
      </c>
      <c r="E41" s="30">
        <v>10156</v>
      </c>
      <c r="F41" s="30">
        <v>1</v>
      </c>
      <c r="H41" s="116" t="s">
        <v>85</v>
      </c>
      <c r="I41" s="117">
        <v>23329</v>
      </c>
      <c r="J41" s="117">
        <v>23329</v>
      </c>
      <c r="K41" s="117">
        <v>3.12</v>
      </c>
      <c r="L41" s="117">
        <v>2182</v>
      </c>
      <c r="M41" s="118">
        <v>1</v>
      </c>
      <c r="O41" s="125" t="s">
        <v>97</v>
      </c>
      <c r="P41" s="126">
        <v>26754</v>
      </c>
      <c r="Q41" s="126">
        <v>26754</v>
      </c>
      <c r="R41" s="126">
        <v>5.01</v>
      </c>
      <c r="S41" s="126">
        <v>4256</v>
      </c>
      <c r="T41" s="127">
        <v>1</v>
      </c>
      <c r="V41" s="134" t="s">
        <v>109</v>
      </c>
      <c r="W41" s="135">
        <v>36817</v>
      </c>
      <c r="X41" s="135">
        <v>36817</v>
      </c>
      <c r="Y41" s="135">
        <v>10.24</v>
      </c>
      <c r="Z41" s="135">
        <v>7039</v>
      </c>
      <c r="AA41" s="136">
        <v>1</v>
      </c>
    </row>
    <row r="42" spans="1:27" x14ac:dyDescent="0.25">
      <c r="A42" s="30" t="s">
        <v>46</v>
      </c>
      <c r="B42" s="30">
        <v>12249.5</v>
      </c>
      <c r="C42" s="30">
        <v>12249.5</v>
      </c>
      <c r="D42" s="30">
        <v>5.49</v>
      </c>
      <c r="E42" s="30">
        <v>8113</v>
      </c>
      <c r="F42" s="30">
        <v>1</v>
      </c>
      <c r="H42" s="116" t="s">
        <v>86</v>
      </c>
      <c r="I42" s="117">
        <v>20999.8</v>
      </c>
      <c r="J42" s="117">
        <v>20999.8</v>
      </c>
      <c r="K42" s="117">
        <v>0.89</v>
      </c>
      <c r="L42" s="117">
        <v>1095</v>
      </c>
      <c r="M42" s="118">
        <v>1</v>
      </c>
      <c r="O42" s="125" t="s">
        <v>98</v>
      </c>
      <c r="P42" s="126">
        <v>25890.799999999999</v>
      </c>
      <c r="Q42" s="126">
        <v>25890.799999999999</v>
      </c>
      <c r="R42" s="126">
        <v>2.71</v>
      </c>
      <c r="S42" s="126">
        <v>1342</v>
      </c>
      <c r="T42" s="127">
        <v>1</v>
      </c>
      <c r="V42" s="134" t="s">
        <v>110</v>
      </c>
      <c r="W42" s="135">
        <v>38622.800000000003</v>
      </c>
      <c r="X42" s="135">
        <v>38622.800000000003</v>
      </c>
      <c r="Y42" s="135">
        <v>8.01</v>
      </c>
      <c r="Z42" s="135">
        <v>2947</v>
      </c>
      <c r="AA42" s="136">
        <v>1</v>
      </c>
    </row>
    <row r="43" spans="1:27" x14ac:dyDescent="0.25">
      <c r="A43" s="30" t="s">
        <v>47</v>
      </c>
      <c r="B43" s="30">
        <v>13845</v>
      </c>
      <c r="C43" s="30">
        <v>13845</v>
      </c>
      <c r="D43" s="30">
        <v>44.13</v>
      </c>
      <c r="E43" s="30">
        <v>62977</v>
      </c>
      <c r="F43" s="30">
        <v>1</v>
      </c>
      <c r="H43" s="116" t="s">
        <v>87</v>
      </c>
      <c r="I43" s="117">
        <v>26519.599999999999</v>
      </c>
      <c r="J43" s="117">
        <v>26519.599999999999</v>
      </c>
      <c r="K43" s="117">
        <v>4.78</v>
      </c>
      <c r="L43" s="117">
        <v>4541</v>
      </c>
      <c r="M43" s="118">
        <v>1</v>
      </c>
      <c r="O43" s="125" t="s">
        <v>99</v>
      </c>
      <c r="P43" s="126">
        <v>30229.200000000001</v>
      </c>
      <c r="Q43" s="126">
        <v>30229.200000000001</v>
      </c>
      <c r="R43" s="126">
        <v>6.41</v>
      </c>
      <c r="S43" s="126">
        <v>6387</v>
      </c>
      <c r="T43" s="127">
        <v>1</v>
      </c>
      <c r="V43" s="134" t="s">
        <v>111</v>
      </c>
      <c r="W43" s="135">
        <v>40310.400000000001</v>
      </c>
      <c r="X43" s="135">
        <v>40310.400000000001</v>
      </c>
      <c r="Y43" s="135">
        <v>19.899999999999999</v>
      </c>
      <c r="Z43" s="135">
        <v>22150</v>
      </c>
      <c r="AA43" s="136">
        <v>1</v>
      </c>
    </row>
    <row r="44" spans="1:27" x14ac:dyDescent="0.25">
      <c r="A44" s="30" t="s">
        <v>48</v>
      </c>
      <c r="B44" s="30">
        <v>12309</v>
      </c>
      <c r="C44" s="30">
        <v>12309</v>
      </c>
      <c r="D44" s="30">
        <v>2.77</v>
      </c>
      <c r="E44" s="30">
        <v>2013</v>
      </c>
      <c r="F44" s="30">
        <v>1</v>
      </c>
      <c r="H44" s="116" t="s">
        <v>88</v>
      </c>
      <c r="I44" s="117">
        <v>21114.400000000001</v>
      </c>
      <c r="J44" s="117">
        <v>21114.400000000001</v>
      </c>
      <c r="K44" s="117">
        <v>0.97</v>
      </c>
      <c r="L44" s="117">
        <v>1059</v>
      </c>
      <c r="M44" s="118">
        <v>1</v>
      </c>
      <c r="O44" s="125" t="s">
        <v>100</v>
      </c>
      <c r="P44" s="126">
        <v>26188.799999999999</v>
      </c>
      <c r="Q44" s="126">
        <v>26188.799999999999</v>
      </c>
      <c r="R44" s="126">
        <v>2.62</v>
      </c>
      <c r="S44" s="126">
        <v>3807</v>
      </c>
      <c r="T44" s="127">
        <v>1</v>
      </c>
      <c r="V44" s="134" t="s">
        <v>112</v>
      </c>
      <c r="W44" s="135">
        <v>38611.199999999997</v>
      </c>
      <c r="X44" s="135">
        <v>38611.199999999997</v>
      </c>
      <c r="Y44" s="135">
        <v>8.49</v>
      </c>
      <c r="Z44" s="135">
        <v>3473</v>
      </c>
      <c r="AA44" s="136">
        <v>1</v>
      </c>
    </row>
    <row r="45" spans="1:27" ht="15.75" thickBot="1" x14ac:dyDescent="0.3">
      <c r="A45" s="30" t="s">
        <v>49</v>
      </c>
      <c r="B45" s="30">
        <v>13627</v>
      </c>
      <c r="C45" s="30">
        <v>13627</v>
      </c>
      <c r="D45" s="30">
        <v>18.309999999999999</v>
      </c>
      <c r="E45" s="30">
        <v>31386</v>
      </c>
      <c r="F45" s="30">
        <v>1</v>
      </c>
      <c r="H45" s="119" t="s">
        <v>89</v>
      </c>
      <c r="I45" s="120">
        <v>26162.799999999999</v>
      </c>
      <c r="J45" s="120">
        <v>26162.799999999999</v>
      </c>
      <c r="K45" s="120">
        <v>2.0099999999999998</v>
      </c>
      <c r="L45" s="120">
        <v>2673</v>
      </c>
      <c r="M45" s="121">
        <v>1</v>
      </c>
      <c r="O45" s="128" t="s">
        <v>101</v>
      </c>
      <c r="P45" s="129">
        <v>29504.400000000001</v>
      </c>
      <c r="Q45" s="129">
        <v>29504.400000000001</v>
      </c>
      <c r="R45" s="129">
        <v>4.71</v>
      </c>
      <c r="S45" s="129">
        <v>3967</v>
      </c>
      <c r="T45" s="130">
        <v>1</v>
      </c>
      <c r="V45" s="137" t="s">
        <v>113</v>
      </c>
      <c r="W45" s="138">
        <v>39826.199999999997</v>
      </c>
      <c r="X45" s="138">
        <v>39826.199999999997</v>
      </c>
      <c r="Y45" s="138">
        <v>7.01</v>
      </c>
      <c r="Z45" s="138">
        <v>3065</v>
      </c>
      <c r="AA45" s="139">
        <v>1</v>
      </c>
    </row>
    <row r="46" spans="1:27" ht="15.75" thickBot="1" x14ac:dyDescent="0.3">
      <c r="A46" s="30" t="s">
        <v>50</v>
      </c>
      <c r="B46" s="30">
        <v>13348</v>
      </c>
      <c r="C46" s="30">
        <v>13348</v>
      </c>
      <c r="D46" s="30">
        <v>7.18</v>
      </c>
      <c r="E46" s="30">
        <v>7799</v>
      </c>
      <c r="F46" s="30">
        <v>1</v>
      </c>
      <c r="H46" s="86" t="s">
        <v>122</v>
      </c>
      <c r="I46" s="87">
        <f>AVERAGE(I34:I45)</f>
        <v>20334.816666666666</v>
      </c>
      <c r="J46" s="87">
        <f t="shared" ref="J46:L46" si="6">AVERAGE(J34:J45)</f>
        <v>20334.816666666666</v>
      </c>
      <c r="K46" s="87">
        <f t="shared" si="6"/>
        <v>1.9600000000000002</v>
      </c>
      <c r="L46" s="87">
        <f t="shared" si="6"/>
        <v>1877.75</v>
      </c>
      <c r="M46" s="88">
        <f>SUM(M34:M45)</f>
        <v>12</v>
      </c>
      <c r="O46" s="86" t="s">
        <v>123</v>
      </c>
      <c r="P46" s="87">
        <f>AVERAGE(P34:P45)</f>
        <v>24661.75</v>
      </c>
      <c r="Q46" s="87">
        <f t="shared" ref="Q46:S46" si="7">AVERAGE(Q34:Q45)</f>
        <v>24661.748333333337</v>
      </c>
      <c r="R46" s="87">
        <f t="shared" si="7"/>
        <v>3.6149999999999998</v>
      </c>
      <c r="S46" s="87">
        <f t="shared" si="7"/>
        <v>2583.5833333333335</v>
      </c>
      <c r="T46" s="88">
        <f>SUM(T34:T45)</f>
        <v>12</v>
      </c>
      <c r="V46" s="140" t="s">
        <v>121</v>
      </c>
      <c r="W46" s="87">
        <f>AVERAGE(W34:W45)</f>
        <v>36360.383333333339</v>
      </c>
      <c r="X46" s="87">
        <f t="shared" ref="X46:Z46" si="8">AVERAGE(X34:X45)</f>
        <v>36360.383333333339</v>
      </c>
      <c r="Y46" s="87">
        <f t="shared" si="8"/>
        <v>7.8324999999999996</v>
      </c>
      <c r="Z46" s="87">
        <f t="shared" si="8"/>
        <v>4508.416666666667</v>
      </c>
      <c r="AA46" s="88">
        <f>SUM(AA34:AA45)</f>
        <v>12</v>
      </c>
    </row>
    <row r="47" spans="1:27" x14ac:dyDescent="0.25">
      <c r="A47" s="30" t="s">
        <v>51</v>
      </c>
      <c r="B47" s="30">
        <v>15030.8</v>
      </c>
      <c r="C47" s="30">
        <v>15030.8</v>
      </c>
      <c r="D47" s="30">
        <v>13.19</v>
      </c>
      <c r="E47" s="30">
        <v>18828</v>
      </c>
      <c r="F47" s="30">
        <v>1</v>
      </c>
    </row>
    <row r="48" spans="1:27" x14ac:dyDescent="0.25">
      <c r="A48" s="30" t="s">
        <v>52</v>
      </c>
      <c r="B48" s="30">
        <v>13635.6</v>
      </c>
      <c r="C48" s="30">
        <v>13635.6</v>
      </c>
      <c r="D48" s="30">
        <v>5.54</v>
      </c>
      <c r="E48" s="30">
        <v>5566</v>
      </c>
      <c r="F48" s="30">
        <v>1</v>
      </c>
    </row>
    <row r="49" spans="1:13" x14ac:dyDescent="0.25">
      <c r="A49" s="30" t="s">
        <v>53</v>
      </c>
      <c r="B49" s="30">
        <v>15051.8</v>
      </c>
      <c r="C49" s="30">
        <v>15051.8</v>
      </c>
      <c r="D49" s="30">
        <v>35.86</v>
      </c>
      <c r="E49" s="30">
        <v>77125</v>
      </c>
      <c r="F49" s="30">
        <v>1</v>
      </c>
    </row>
    <row r="50" spans="1:13" x14ac:dyDescent="0.25">
      <c r="A50" s="1" t="s">
        <v>54</v>
      </c>
      <c r="B50" s="1">
        <v>15612.8</v>
      </c>
      <c r="C50" s="1">
        <v>15612.8</v>
      </c>
      <c r="D50" s="1">
        <v>20.12</v>
      </c>
      <c r="E50" s="1">
        <v>29430</v>
      </c>
      <c r="F50" s="1">
        <v>1</v>
      </c>
    </row>
    <row r="51" spans="1:13" x14ac:dyDescent="0.25">
      <c r="A51" s="1" t="s">
        <v>55</v>
      </c>
      <c r="B51" s="1">
        <v>15277.6</v>
      </c>
      <c r="C51" s="1">
        <v>15277.6</v>
      </c>
      <c r="D51" s="1">
        <v>8.7899999999999991</v>
      </c>
      <c r="E51" s="1">
        <v>6797</v>
      </c>
      <c r="F51" s="1">
        <v>1</v>
      </c>
    </row>
    <row r="52" spans="1:13" ht="15.75" thickBot="1" x14ac:dyDescent="0.3">
      <c r="A52" s="1" t="s">
        <v>56</v>
      </c>
      <c r="B52" s="1">
        <v>14997.8</v>
      </c>
      <c r="C52" s="1">
        <v>14997.8</v>
      </c>
      <c r="D52" s="1">
        <v>5.07</v>
      </c>
      <c r="E52" s="1">
        <v>3283</v>
      </c>
      <c r="F52" s="1">
        <v>1</v>
      </c>
      <c r="H52" s="89"/>
      <c r="I52" s="85"/>
      <c r="J52" s="85">
        <f t="shared" ref="J52:J53" si="9">AVERAGE(J40:J51)</f>
        <v>22445.416666666661</v>
      </c>
      <c r="K52" s="85">
        <f t="shared" ref="K52:K53" si="10">AVERAGE(K40:K51)</f>
        <v>2.1114285714285717</v>
      </c>
      <c r="L52" s="85">
        <f t="shared" ref="L52:L53" si="11">AVERAGE(L40:L51)</f>
        <v>2094.8214285714284</v>
      </c>
      <c r="M52" s="85">
        <f>SUM(M40:M51)</f>
        <v>18</v>
      </c>
    </row>
    <row r="53" spans="1:13" ht="15.75" thickBot="1" x14ac:dyDescent="0.3">
      <c r="A53" s="1" t="s">
        <v>57</v>
      </c>
      <c r="B53" s="1">
        <v>15176.6</v>
      </c>
      <c r="C53" s="1">
        <v>15176.6</v>
      </c>
      <c r="D53" s="1">
        <v>17.579999999999998</v>
      </c>
      <c r="E53" s="1">
        <v>28142</v>
      </c>
      <c r="F53" s="1">
        <v>1</v>
      </c>
      <c r="H53" s="112" t="s">
        <v>117</v>
      </c>
      <c r="I53" s="87">
        <f>AVERAGE(I41:I52)</f>
        <v>23076.736111111109</v>
      </c>
      <c r="J53" s="87">
        <f t="shared" si="9"/>
        <v>22986.547619047615</v>
      </c>
      <c r="K53" s="87">
        <f t="shared" si="10"/>
        <v>2.2630612244897961</v>
      </c>
      <c r="L53" s="87">
        <f t="shared" si="11"/>
        <v>2217.5102040816323</v>
      </c>
      <c r="M53" s="88">
        <f>SUM(M41:M52)</f>
        <v>35</v>
      </c>
    </row>
    <row r="54" spans="1:13" x14ac:dyDescent="0.25">
      <c r="A54" s="1" t="s">
        <v>58</v>
      </c>
      <c r="B54" s="1">
        <v>16782</v>
      </c>
      <c r="C54" s="1">
        <v>16782</v>
      </c>
      <c r="D54" s="1">
        <v>26.59</v>
      </c>
      <c r="E54" s="1">
        <v>39185</v>
      </c>
      <c r="F54" s="1">
        <v>1</v>
      </c>
    </row>
    <row r="55" spans="1:13" x14ac:dyDescent="0.25">
      <c r="A55" s="1" t="s">
        <v>59</v>
      </c>
      <c r="B55" s="1">
        <v>17102.5</v>
      </c>
      <c r="C55" s="1">
        <v>17102.5</v>
      </c>
      <c r="D55" s="1">
        <v>165.8</v>
      </c>
      <c r="E55" s="1">
        <v>278770</v>
      </c>
      <c r="F55" s="1">
        <v>1</v>
      </c>
    </row>
    <row r="56" spans="1:13" x14ac:dyDescent="0.25">
      <c r="A56" s="1" t="s">
        <v>60</v>
      </c>
      <c r="B56" s="1">
        <v>16557</v>
      </c>
      <c r="C56" s="1">
        <v>16557</v>
      </c>
      <c r="D56" s="1">
        <v>24.34</v>
      </c>
      <c r="E56" s="1">
        <v>36510</v>
      </c>
      <c r="F56" s="1">
        <v>1</v>
      </c>
    </row>
    <row r="57" spans="1:13" x14ac:dyDescent="0.25">
      <c r="A57" s="1" t="s">
        <v>61</v>
      </c>
      <c r="B57" s="1">
        <v>17218</v>
      </c>
      <c r="C57" s="1">
        <v>17218</v>
      </c>
      <c r="D57" s="1">
        <v>75.680000000000007</v>
      </c>
      <c r="E57" s="1">
        <v>128596</v>
      </c>
      <c r="F57" s="1">
        <v>1</v>
      </c>
    </row>
    <row r="58" spans="1:13" x14ac:dyDescent="0.25">
      <c r="A58" s="1" t="s">
        <v>62</v>
      </c>
      <c r="B58" s="1">
        <v>18023.8</v>
      </c>
      <c r="C58" s="1">
        <v>18023.8</v>
      </c>
      <c r="D58" s="1">
        <v>62.41</v>
      </c>
      <c r="E58" s="1">
        <v>108486</v>
      </c>
      <c r="F58" s="1">
        <v>1</v>
      </c>
    </row>
    <row r="59" spans="1:13" x14ac:dyDescent="0.25">
      <c r="A59" s="1" t="s">
        <v>63</v>
      </c>
      <c r="B59" s="1">
        <v>18780.2</v>
      </c>
      <c r="C59" s="1">
        <v>18779.400000000001</v>
      </c>
      <c r="D59" s="1">
        <v>1261.25</v>
      </c>
      <c r="E59" s="1">
        <v>1954119</v>
      </c>
      <c r="F59" s="1">
        <v>1</v>
      </c>
    </row>
    <row r="60" spans="1:13" x14ac:dyDescent="0.25">
      <c r="A60" s="1" t="s">
        <v>64</v>
      </c>
      <c r="B60" s="1">
        <v>17742.8</v>
      </c>
      <c r="C60" s="1">
        <v>17742.8</v>
      </c>
      <c r="D60" s="1">
        <v>9.7899999999999991</v>
      </c>
      <c r="E60" s="1">
        <v>6770</v>
      </c>
      <c r="F60" s="1">
        <v>1</v>
      </c>
    </row>
    <row r="61" spans="1:13" ht="15.75" thickBot="1" x14ac:dyDescent="0.3">
      <c r="A61" s="1" t="s">
        <v>65</v>
      </c>
      <c r="B61" s="1">
        <v>18646.599999999999</v>
      </c>
      <c r="C61" s="1">
        <v>18646.599999999999</v>
      </c>
      <c r="D61" s="1">
        <v>112.53</v>
      </c>
      <c r="E61" s="1">
        <v>168656</v>
      </c>
      <c r="F61" s="1">
        <v>1</v>
      </c>
    </row>
    <row r="62" spans="1:13" x14ac:dyDescent="0.25">
      <c r="A62" s="31" t="s">
        <v>66</v>
      </c>
      <c r="B62" s="32">
        <v>27623.8</v>
      </c>
      <c r="C62" s="32">
        <v>27623.8</v>
      </c>
      <c r="D62" s="32">
        <v>10.61</v>
      </c>
      <c r="E62" s="32">
        <v>7227</v>
      </c>
      <c r="F62" s="33">
        <v>1</v>
      </c>
    </row>
    <row r="63" spans="1:13" x14ac:dyDescent="0.25">
      <c r="A63" s="34" t="s">
        <v>67</v>
      </c>
      <c r="B63" s="35">
        <v>24892.6</v>
      </c>
      <c r="C63" s="35">
        <v>24892.6</v>
      </c>
      <c r="D63" s="35">
        <v>20.16</v>
      </c>
      <c r="E63" s="35">
        <v>23550</v>
      </c>
      <c r="F63" s="36">
        <v>1</v>
      </c>
    </row>
    <row r="64" spans="1:13" x14ac:dyDescent="0.25">
      <c r="A64" s="34" t="s">
        <v>68</v>
      </c>
      <c r="B64" s="35">
        <v>26587.4</v>
      </c>
      <c r="C64" s="35">
        <v>26587.4</v>
      </c>
      <c r="D64" s="35">
        <v>8.99</v>
      </c>
      <c r="E64" s="35">
        <v>1716</v>
      </c>
      <c r="F64" s="36">
        <v>1</v>
      </c>
    </row>
    <row r="65" spans="1:6" x14ac:dyDescent="0.25">
      <c r="A65" s="34" t="s">
        <v>69</v>
      </c>
      <c r="B65" s="35">
        <v>24252.400000000001</v>
      </c>
      <c r="C65" s="35">
        <v>24252.400000000001</v>
      </c>
      <c r="D65" s="35">
        <v>16.29</v>
      </c>
      <c r="E65" s="35">
        <v>13363</v>
      </c>
      <c r="F65" s="36">
        <v>1</v>
      </c>
    </row>
    <row r="66" spans="1:6" x14ac:dyDescent="0.25">
      <c r="A66" s="34" t="s">
        <v>70</v>
      </c>
      <c r="B66" s="35">
        <v>29328.5</v>
      </c>
      <c r="C66" s="35">
        <v>29328.5</v>
      </c>
      <c r="D66" s="35">
        <v>22.08</v>
      </c>
      <c r="E66" s="35">
        <v>21504</v>
      </c>
      <c r="F66" s="36">
        <v>1</v>
      </c>
    </row>
    <row r="67" spans="1:6" x14ac:dyDescent="0.25">
      <c r="A67" s="34" t="s">
        <v>71</v>
      </c>
      <c r="B67" s="35">
        <v>26961.5</v>
      </c>
      <c r="C67" s="35">
        <v>26961.5</v>
      </c>
      <c r="D67" s="35">
        <v>68.53</v>
      </c>
      <c r="E67" s="35">
        <v>94809</v>
      </c>
      <c r="F67" s="36">
        <v>1</v>
      </c>
    </row>
    <row r="68" spans="1:6" x14ac:dyDescent="0.25">
      <c r="A68" s="34" t="s">
        <v>72</v>
      </c>
      <c r="B68" s="35">
        <v>28484</v>
      </c>
      <c r="C68" s="35">
        <v>28484</v>
      </c>
      <c r="D68" s="35">
        <v>11.77</v>
      </c>
      <c r="E68" s="35">
        <v>4155</v>
      </c>
      <c r="F68" s="36">
        <v>1</v>
      </c>
    </row>
    <row r="69" spans="1:6" x14ac:dyDescent="0.25">
      <c r="A69" s="34" t="s">
        <v>73</v>
      </c>
      <c r="B69" s="35">
        <v>27019</v>
      </c>
      <c r="C69" s="35">
        <v>27019</v>
      </c>
      <c r="D69" s="35">
        <v>32.65</v>
      </c>
      <c r="E69" s="35">
        <v>46765</v>
      </c>
      <c r="F69" s="36">
        <v>1</v>
      </c>
    </row>
    <row r="70" spans="1:6" x14ac:dyDescent="0.25">
      <c r="A70" s="34" t="s">
        <v>74</v>
      </c>
      <c r="B70" s="35">
        <v>30515.4</v>
      </c>
      <c r="C70" s="35">
        <v>30515.4</v>
      </c>
      <c r="D70" s="35">
        <v>17.5</v>
      </c>
      <c r="E70" s="35">
        <v>20076</v>
      </c>
      <c r="F70" s="36">
        <v>1</v>
      </c>
    </row>
    <row r="71" spans="1:6" x14ac:dyDescent="0.25">
      <c r="A71" s="34" t="s">
        <v>75</v>
      </c>
      <c r="B71" s="35">
        <v>28758.400000000001</v>
      </c>
      <c r="C71" s="35">
        <v>28758.400000000001</v>
      </c>
      <c r="D71" s="35">
        <v>124.89</v>
      </c>
      <c r="E71" s="35">
        <v>153921</v>
      </c>
      <c r="F71" s="36">
        <v>1</v>
      </c>
    </row>
    <row r="72" spans="1:6" x14ac:dyDescent="0.25">
      <c r="A72" s="34" t="s">
        <v>76</v>
      </c>
      <c r="B72" s="35">
        <v>29864.6</v>
      </c>
      <c r="C72" s="35">
        <v>29864.6</v>
      </c>
      <c r="D72" s="35">
        <v>15.19</v>
      </c>
      <c r="E72" s="35">
        <v>12832</v>
      </c>
      <c r="F72" s="36">
        <v>1</v>
      </c>
    </row>
    <row r="73" spans="1:6" ht="15.75" thickBot="1" x14ac:dyDescent="0.3">
      <c r="A73" s="37" t="s">
        <v>77</v>
      </c>
      <c r="B73" s="38">
        <v>28195.200000000001</v>
      </c>
      <c r="C73" s="38">
        <v>28195.200000000001</v>
      </c>
      <c r="D73" s="38">
        <v>56.08</v>
      </c>
      <c r="E73" s="38">
        <v>76656</v>
      </c>
      <c r="F73" s="39">
        <v>1</v>
      </c>
    </row>
    <row r="74" spans="1:6" x14ac:dyDescent="0.25">
      <c r="A74" s="49" t="s">
        <v>78</v>
      </c>
      <c r="B74" s="50">
        <v>14443.4</v>
      </c>
      <c r="C74" s="50">
        <v>14443.4</v>
      </c>
      <c r="D74" s="50">
        <v>0.51</v>
      </c>
      <c r="E74" s="50">
        <v>119</v>
      </c>
      <c r="F74" s="51">
        <v>1</v>
      </c>
    </row>
    <row r="75" spans="1:6" x14ac:dyDescent="0.25">
      <c r="A75" s="52" t="s">
        <v>79</v>
      </c>
      <c r="B75" s="53">
        <v>18364</v>
      </c>
      <c r="C75" s="53">
        <v>18364</v>
      </c>
      <c r="D75" s="53">
        <v>2.16</v>
      </c>
      <c r="E75" s="53">
        <v>2599</v>
      </c>
      <c r="F75" s="54">
        <v>1</v>
      </c>
    </row>
    <row r="76" spans="1:6" x14ac:dyDescent="0.25">
      <c r="A76" s="52" t="s">
        <v>80</v>
      </c>
      <c r="B76" s="53">
        <v>14954</v>
      </c>
      <c r="C76" s="53">
        <v>14954</v>
      </c>
      <c r="D76" s="53">
        <v>0.5</v>
      </c>
      <c r="E76" s="53">
        <v>239</v>
      </c>
      <c r="F76" s="54">
        <v>1</v>
      </c>
    </row>
    <row r="77" spans="1:6" x14ac:dyDescent="0.25">
      <c r="A77" s="52" t="s">
        <v>81</v>
      </c>
      <c r="B77" s="53">
        <v>17857.8</v>
      </c>
      <c r="C77" s="53">
        <v>17857.8</v>
      </c>
      <c r="D77" s="53">
        <v>0.55000000000000004</v>
      </c>
      <c r="E77" s="53">
        <v>303</v>
      </c>
      <c r="F77" s="54">
        <v>1</v>
      </c>
    </row>
    <row r="78" spans="1:6" x14ac:dyDescent="0.25">
      <c r="A78" s="52" t="s">
        <v>82</v>
      </c>
      <c r="B78" s="53">
        <v>18546</v>
      </c>
      <c r="C78" s="53">
        <v>18546</v>
      </c>
      <c r="D78" s="53">
        <v>0.79</v>
      </c>
      <c r="E78" s="53">
        <v>648</v>
      </c>
      <c r="F78" s="54">
        <v>1</v>
      </c>
    </row>
    <row r="79" spans="1:6" x14ac:dyDescent="0.25">
      <c r="A79" s="52" t="s">
        <v>83</v>
      </c>
      <c r="B79" s="53">
        <v>23069.5</v>
      </c>
      <c r="C79" s="53">
        <v>23069.5</v>
      </c>
      <c r="D79" s="53">
        <v>6.19</v>
      </c>
      <c r="E79" s="53">
        <v>5839</v>
      </c>
      <c r="F79" s="54">
        <v>1</v>
      </c>
    </row>
    <row r="80" spans="1:6" x14ac:dyDescent="0.25">
      <c r="A80" s="52" t="s">
        <v>84</v>
      </c>
      <c r="B80" s="53">
        <v>18657.5</v>
      </c>
      <c r="C80" s="53">
        <v>18657.5</v>
      </c>
      <c r="D80" s="53">
        <v>1.05</v>
      </c>
      <c r="E80" s="53">
        <v>1236</v>
      </c>
      <c r="F80" s="54">
        <v>1</v>
      </c>
    </row>
    <row r="81" spans="1:6" x14ac:dyDescent="0.25">
      <c r="A81" s="52" t="s">
        <v>85</v>
      </c>
      <c r="B81" s="53">
        <v>23329</v>
      </c>
      <c r="C81" s="53">
        <v>23329</v>
      </c>
      <c r="D81" s="53">
        <v>3.12</v>
      </c>
      <c r="E81" s="53">
        <v>2182</v>
      </c>
      <c r="F81" s="54">
        <v>1</v>
      </c>
    </row>
    <row r="82" spans="1:6" x14ac:dyDescent="0.25">
      <c r="A82" s="52" t="s">
        <v>86</v>
      </c>
      <c r="B82" s="53">
        <v>20999.8</v>
      </c>
      <c r="C82" s="53">
        <v>20999.8</v>
      </c>
      <c r="D82" s="53">
        <v>0.89</v>
      </c>
      <c r="E82" s="53">
        <v>1095</v>
      </c>
      <c r="F82" s="54">
        <v>1</v>
      </c>
    </row>
    <row r="83" spans="1:6" x14ac:dyDescent="0.25">
      <c r="A83" s="52" t="s">
        <v>87</v>
      </c>
      <c r="B83" s="53">
        <v>26519.599999999999</v>
      </c>
      <c r="C83" s="53">
        <v>26519.599999999999</v>
      </c>
      <c r="D83" s="53">
        <v>4.78</v>
      </c>
      <c r="E83" s="53">
        <v>4541</v>
      </c>
      <c r="F83" s="54">
        <v>1</v>
      </c>
    </row>
    <row r="84" spans="1:6" x14ac:dyDescent="0.25">
      <c r="A84" s="52" t="s">
        <v>88</v>
      </c>
      <c r="B84" s="53">
        <v>21114.400000000001</v>
      </c>
      <c r="C84" s="53">
        <v>21114.400000000001</v>
      </c>
      <c r="D84" s="53">
        <v>0.97</v>
      </c>
      <c r="E84" s="53">
        <v>1059</v>
      </c>
      <c r="F84" s="54">
        <v>1</v>
      </c>
    </row>
    <row r="85" spans="1:6" ht="15.75" thickBot="1" x14ac:dyDescent="0.3">
      <c r="A85" s="55" t="s">
        <v>89</v>
      </c>
      <c r="B85" s="56">
        <v>26162.799999999999</v>
      </c>
      <c r="C85" s="56">
        <v>26162.799999999999</v>
      </c>
      <c r="D85" s="56">
        <v>2.0099999999999998</v>
      </c>
      <c r="E85" s="56">
        <v>2673</v>
      </c>
      <c r="F85" s="57">
        <v>1</v>
      </c>
    </row>
    <row r="86" spans="1:6" x14ac:dyDescent="0.25">
      <c r="A86" s="58" t="s">
        <v>90</v>
      </c>
      <c r="B86" s="59">
        <v>19646</v>
      </c>
      <c r="C86" s="59">
        <v>19646</v>
      </c>
      <c r="D86" s="59">
        <v>1.62</v>
      </c>
      <c r="E86" s="59">
        <v>1108</v>
      </c>
      <c r="F86" s="60">
        <v>1</v>
      </c>
    </row>
    <row r="87" spans="1:6" x14ac:dyDescent="0.25">
      <c r="A87" s="61" t="s">
        <v>91</v>
      </c>
      <c r="B87" s="62">
        <v>22567.599999999999</v>
      </c>
      <c r="C87" s="62">
        <v>22567.599999999999</v>
      </c>
      <c r="D87" s="62">
        <v>4.4000000000000004</v>
      </c>
      <c r="E87" s="62">
        <v>1282</v>
      </c>
      <c r="F87" s="63">
        <v>1</v>
      </c>
    </row>
    <row r="88" spans="1:6" x14ac:dyDescent="0.25">
      <c r="A88" s="61" t="s">
        <v>92</v>
      </c>
      <c r="B88" s="62">
        <v>19880.400000000001</v>
      </c>
      <c r="C88" s="62">
        <v>19880.400000000001</v>
      </c>
      <c r="D88" s="62">
        <v>2.41</v>
      </c>
      <c r="E88" s="62">
        <v>1447</v>
      </c>
      <c r="F88" s="63">
        <v>1</v>
      </c>
    </row>
    <row r="89" spans="1:6" x14ac:dyDescent="0.25">
      <c r="A89" s="61" t="s">
        <v>93</v>
      </c>
      <c r="B89" s="62">
        <v>22483.8</v>
      </c>
      <c r="C89" s="62">
        <v>22483.78</v>
      </c>
      <c r="D89" s="62">
        <v>3.32</v>
      </c>
      <c r="E89" s="62">
        <v>1155</v>
      </c>
      <c r="F89" s="63">
        <v>1</v>
      </c>
    </row>
    <row r="90" spans="1:6" x14ac:dyDescent="0.25">
      <c r="A90" s="61" t="s">
        <v>94</v>
      </c>
      <c r="B90" s="62">
        <v>23013.5</v>
      </c>
      <c r="C90" s="62">
        <v>23013.5</v>
      </c>
      <c r="D90" s="62">
        <v>3.23</v>
      </c>
      <c r="E90" s="62">
        <v>1949</v>
      </c>
      <c r="F90" s="63">
        <v>1</v>
      </c>
    </row>
    <row r="91" spans="1:6" x14ac:dyDescent="0.25">
      <c r="A91" s="61" t="s">
        <v>95</v>
      </c>
      <c r="B91" s="62">
        <v>27076</v>
      </c>
      <c r="C91" s="62">
        <v>27076</v>
      </c>
      <c r="D91" s="62">
        <v>5.31</v>
      </c>
      <c r="E91" s="62">
        <v>2878</v>
      </c>
      <c r="F91" s="63">
        <v>1</v>
      </c>
    </row>
    <row r="92" spans="1:6" x14ac:dyDescent="0.25">
      <c r="A92" s="61" t="s">
        <v>96</v>
      </c>
      <c r="B92" s="62">
        <v>22706.5</v>
      </c>
      <c r="C92" s="62">
        <v>22706.5</v>
      </c>
      <c r="D92" s="62">
        <v>1.63</v>
      </c>
      <c r="E92" s="62">
        <v>1425</v>
      </c>
      <c r="F92" s="63">
        <v>1</v>
      </c>
    </row>
    <row r="93" spans="1:6" x14ac:dyDescent="0.25">
      <c r="A93" s="61" t="s">
        <v>97</v>
      </c>
      <c r="B93" s="62">
        <v>26754</v>
      </c>
      <c r="C93" s="62">
        <v>26754</v>
      </c>
      <c r="D93" s="62">
        <v>5.01</v>
      </c>
      <c r="E93" s="62">
        <v>4256</v>
      </c>
      <c r="F93" s="63">
        <v>1</v>
      </c>
    </row>
    <row r="94" spans="1:6" x14ac:dyDescent="0.25">
      <c r="A94" s="61" t="s">
        <v>98</v>
      </c>
      <c r="B94" s="62">
        <v>25890.799999999999</v>
      </c>
      <c r="C94" s="62">
        <v>25890.799999999999</v>
      </c>
      <c r="D94" s="62">
        <v>2.71</v>
      </c>
      <c r="E94" s="62">
        <v>1342</v>
      </c>
      <c r="F94" s="63">
        <v>1</v>
      </c>
    </row>
    <row r="95" spans="1:6" x14ac:dyDescent="0.25">
      <c r="A95" s="61" t="s">
        <v>99</v>
      </c>
      <c r="B95" s="62">
        <v>30229.200000000001</v>
      </c>
      <c r="C95" s="62">
        <v>30229.200000000001</v>
      </c>
      <c r="D95" s="62">
        <v>6.41</v>
      </c>
      <c r="E95" s="62">
        <v>6387</v>
      </c>
      <c r="F95" s="63">
        <v>1</v>
      </c>
    </row>
    <row r="96" spans="1:6" x14ac:dyDescent="0.25">
      <c r="A96" s="61" t="s">
        <v>100</v>
      </c>
      <c r="B96" s="62">
        <v>26188.799999999999</v>
      </c>
      <c r="C96" s="62">
        <v>26188.799999999999</v>
      </c>
      <c r="D96" s="62">
        <v>2.62</v>
      </c>
      <c r="E96" s="62">
        <v>3807</v>
      </c>
      <c r="F96" s="63">
        <v>1</v>
      </c>
    </row>
    <row r="97" spans="1:6" ht="15.75" thickBot="1" x14ac:dyDescent="0.3">
      <c r="A97" s="64" t="s">
        <v>101</v>
      </c>
      <c r="B97" s="65">
        <v>29504.400000000001</v>
      </c>
      <c r="C97" s="65">
        <v>29504.400000000001</v>
      </c>
      <c r="D97" s="65">
        <v>4.71</v>
      </c>
      <c r="E97" s="65">
        <v>3967</v>
      </c>
      <c r="F97" s="66">
        <v>1</v>
      </c>
    </row>
    <row r="98" spans="1:6" x14ac:dyDescent="0.25">
      <c r="A98" s="40" t="s">
        <v>102</v>
      </c>
      <c r="B98" s="41">
        <v>32952.400000000001</v>
      </c>
      <c r="C98" s="41">
        <v>32952.400000000001</v>
      </c>
      <c r="D98" s="41">
        <v>5.04</v>
      </c>
      <c r="E98" s="41">
        <v>996</v>
      </c>
      <c r="F98" s="42">
        <v>1</v>
      </c>
    </row>
    <row r="99" spans="1:6" x14ac:dyDescent="0.25">
      <c r="A99" s="43" t="s">
        <v>103</v>
      </c>
      <c r="B99" s="44">
        <v>33332.199999999997</v>
      </c>
      <c r="C99" s="44">
        <v>33332.199999999997</v>
      </c>
      <c r="D99" s="44">
        <v>4.87</v>
      </c>
      <c r="E99" s="44">
        <v>2097</v>
      </c>
      <c r="F99" s="45">
        <v>1</v>
      </c>
    </row>
    <row r="100" spans="1:6" x14ac:dyDescent="0.25">
      <c r="A100" s="43" t="s">
        <v>104</v>
      </c>
      <c r="B100" s="44">
        <v>33072.400000000001</v>
      </c>
      <c r="C100" s="44">
        <v>33072.400000000001</v>
      </c>
      <c r="D100" s="44">
        <v>4.7699999999999996</v>
      </c>
      <c r="E100" s="44">
        <v>1521</v>
      </c>
      <c r="F100" s="45">
        <v>1</v>
      </c>
    </row>
    <row r="101" spans="1:6" x14ac:dyDescent="0.25">
      <c r="A101" s="43" t="s">
        <v>105</v>
      </c>
      <c r="B101" s="44">
        <v>33115</v>
      </c>
      <c r="C101" s="44">
        <v>33115</v>
      </c>
      <c r="D101" s="44">
        <v>4.6399999999999997</v>
      </c>
      <c r="E101" s="44">
        <v>2118</v>
      </c>
      <c r="F101" s="45">
        <v>1</v>
      </c>
    </row>
    <row r="102" spans="1:6" x14ac:dyDescent="0.25">
      <c r="A102" s="43" t="s">
        <v>106</v>
      </c>
      <c r="B102" s="44">
        <v>36286</v>
      </c>
      <c r="C102" s="44">
        <v>36286</v>
      </c>
      <c r="D102" s="44">
        <v>5.86</v>
      </c>
      <c r="E102" s="44">
        <v>2346</v>
      </c>
      <c r="F102" s="45">
        <v>1</v>
      </c>
    </row>
    <row r="103" spans="1:6" x14ac:dyDescent="0.25">
      <c r="A103" s="43" t="s">
        <v>107</v>
      </c>
      <c r="B103" s="44">
        <v>37205.5</v>
      </c>
      <c r="C103" s="44">
        <v>37205.5</v>
      </c>
      <c r="D103" s="44">
        <v>10.84</v>
      </c>
      <c r="E103" s="44">
        <v>5179</v>
      </c>
      <c r="F103" s="45">
        <v>1</v>
      </c>
    </row>
    <row r="104" spans="1:6" x14ac:dyDescent="0.25">
      <c r="A104" s="43" t="s">
        <v>108</v>
      </c>
      <c r="B104" s="44">
        <v>36173.5</v>
      </c>
      <c r="C104" s="44">
        <v>36173.5</v>
      </c>
      <c r="D104" s="44">
        <v>4.32</v>
      </c>
      <c r="E104" s="44">
        <v>1170</v>
      </c>
      <c r="F104" s="45">
        <v>1</v>
      </c>
    </row>
    <row r="105" spans="1:6" x14ac:dyDescent="0.25">
      <c r="A105" s="43" t="s">
        <v>109</v>
      </c>
      <c r="B105" s="44">
        <v>36817</v>
      </c>
      <c r="C105" s="44">
        <v>36817</v>
      </c>
      <c r="D105" s="44">
        <v>10.24</v>
      </c>
      <c r="E105" s="44">
        <v>7039</v>
      </c>
      <c r="F105" s="45">
        <v>1</v>
      </c>
    </row>
    <row r="106" spans="1:6" x14ac:dyDescent="0.25">
      <c r="A106" s="43" t="s">
        <v>110</v>
      </c>
      <c r="B106" s="44">
        <v>38622.800000000003</v>
      </c>
      <c r="C106" s="44">
        <v>38622.800000000003</v>
      </c>
      <c r="D106" s="44">
        <v>8.01</v>
      </c>
      <c r="E106" s="44">
        <v>2947</v>
      </c>
      <c r="F106" s="45">
        <v>1</v>
      </c>
    </row>
    <row r="107" spans="1:6" x14ac:dyDescent="0.25">
      <c r="A107" s="43" t="s">
        <v>111</v>
      </c>
      <c r="B107" s="44">
        <v>40310.400000000001</v>
      </c>
      <c r="C107" s="44">
        <v>40310.400000000001</v>
      </c>
      <c r="D107" s="44">
        <v>19.899999999999999</v>
      </c>
      <c r="E107" s="44">
        <v>22150</v>
      </c>
      <c r="F107" s="45">
        <v>1</v>
      </c>
    </row>
    <row r="108" spans="1:6" x14ac:dyDescent="0.25">
      <c r="A108" s="43" t="s">
        <v>112</v>
      </c>
      <c r="B108" s="44">
        <v>38611.199999999997</v>
      </c>
      <c r="C108" s="44">
        <v>38611.199999999997</v>
      </c>
      <c r="D108" s="44">
        <v>8.49</v>
      </c>
      <c r="E108" s="44">
        <v>3473</v>
      </c>
      <c r="F108" s="45">
        <v>1</v>
      </c>
    </row>
    <row r="109" spans="1:6" ht="15.75" thickBot="1" x14ac:dyDescent="0.3">
      <c r="A109" s="46" t="s">
        <v>113</v>
      </c>
      <c r="B109" s="47">
        <v>39826.199999999997</v>
      </c>
      <c r="C109" s="47">
        <v>39826.199999999997</v>
      </c>
      <c r="D109" s="47">
        <v>7.01</v>
      </c>
      <c r="E109" s="47">
        <v>3065</v>
      </c>
      <c r="F109" s="48">
        <v>1</v>
      </c>
    </row>
    <row r="110" spans="1:6" x14ac:dyDescent="0.25">
      <c r="A110" t="s">
        <v>114</v>
      </c>
      <c r="B110">
        <v>20708.37</v>
      </c>
      <c r="C110">
        <v>20708.32</v>
      </c>
      <c r="D110">
        <v>88.22</v>
      </c>
      <c r="E110">
        <v>116736.82</v>
      </c>
      <c r="F110">
        <v>108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E4E5-98F5-4CBB-9488-140BF894516A}">
  <dimension ref="D2:P13"/>
  <sheetViews>
    <sheetView workbookViewId="0">
      <selection activeCell="K12" sqref="K12"/>
    </sheetView>
  </sheetViews>
  <sheetFormatPr defaultRowHeight="15" x14ac:dyDescent="0.25"/>
  <cols>
    <col min="4" max="4" width="10.28515625" customWidth="1"/>
    <col min="5" max="5" width="10.85546875" customWidth="1"/>
    <col min="6" max="6" width="12.7109375" customWidth="1"/>
    <col min="7" max="9" width="10.28515625" customWidth="1"/>
    <col min="12" max="12" width="11.28515625" customWidth="1"/>
    <col min="13" max="13" width="14.5703125" customWidth="1"/>
    <col min="15" max="15" width="12.28515625" customWidth="1"/>
  </cols>
  <sheetData>
    <row r="2" spans="4:16" ht="15.75" thickBot="1" x14ac:dyDescent="0.3"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</row>
    <row r="3" spans="4:16" ht="15.75" thickBot="1" x14ac:dyDescent="0.3">
      <c r="D3" s="142" t="s">
        <v>124</v>
      </c>
      <c r="E3" s="143" t="s">
        <v>125</v>
      </c>
      <c r="F3" s="143" t="s">
        <v>126</v>
      </c>
      <c r="G3" s="143" t="s">
        <v>3</v>
      </c>
      <c r="H3" s="143" t="s">
        <v>4</v>
      </c>
      <c r="I3" s="144" t="s">
        <v>5</v>
      </c>
      <c r="K3" s="147" t="s">
        <v>124</v>
      </c>
      <c r="L3" s="148" t="s">
        <v>125</v>
      </c>
      <c r="M3" s="148" t="s">
        <v>126</v>
      </c>
      <c r="N3" s="148" t="s">
        <v>3</v>
      </c>
      <c r="O3" s="148" t="s">
        <v>4</v>
      </c>
      <c r="P3" s="149" t="s">
        <v>5</v>
      </c>
    </row>
    <row r="4" spans="4:16" x14ac:dyDescent="0.25">
      <c r="D4" s="141" t="s">
        <v>115</v>
      </c>
      <c r="E4" s="145">
        <v>9680.2000000000007</v>
      </c>
      <c r="F4" s="145">
        <v>9676.1066666666666</v>
      </c>
      <c r="G4" s="145">
        <v>380.41083333333336</v>
      </c>
      <c r="H4" s="145">
        <v>461115.58333333331</v>
      </c>
      <c r="I4">
        <v>11</v>
      </c>
      <c r="K4" s="150" t="s">
        <v>115</v>
      </c>
      <c r="L4" s="151">
        <v>9680.2000000000007</v>
      </c>
      <c r="M4" s="151">
        <v>9676.1066666666666</v>
      </c>
      <c r="N4" s="151">
        <v>380.41083333333336</v>
      </c>
      <c r="O4" s="151">
        <v>461115.58333333331</v>
      </c>
      <c r="P4" s="152">
        <v>11</v>
      </c>
    </row>
    <row r="5" spans="4:16" x14ac:dyDescent="0.25">
      <c r="D5" s="141" t="s">
        <v>116</v>
      </c>
      <c r="E5" s="145">
        <v>13530.833333333334</v>
      </c>
      <c r="F5" s="145">
        <v>13530.819166666668</v>
      </c>
      <c r="G5" s="145">
        <v>135.27416666666667</v>
      </c>
      <c r="H5" s="145">
        <v>202126.83333333334</v>
      </c>
      <c r="I5">
        <v>12</v>
      </c>
      <c r="K5" s="153" t="s">
        <v>116</v>
      </c>
      <c r="L5" s="154">
        <v>13530.833333333334</v>
      </c>
      <c r="M5" s="154">
        <v>13530.819166666668</v>
      </c>
      <c r="N5" s="154">
        <v>135.27416666666667</v>
      </c>
      <c r="O5" s="154">
        <v>202126.83333333334</v>
      </c>
      <c r="P5" s="155">
        <v>12</v>
      </c>
    </row>
    <row r="6" spans="4:16" x14ac:dyDescent="0.25">
      <c r="D6" s="141" t="s">
        <v>117</v>
      </c>
      <c r="E6" s="145">
        <v>24430.291666666668</v>
      </c>
      <c r="F6" s="145">
        <v>24430.198333333334</v>
      </c>
      <c r="G6" s="145">
        <v>27.545833333333334</v>
      </c>
      <c r="H6" s="145">
        <v>34310.666666666664</v>
      </c>
      <c r="I6">
        <v>12</v>
      </c>
      <c r="K6" s="150" t="s">
        <v>117</v>
      </c>
      <c r="L6" s="151">
        <v>24430.291666666668</v>
      </c>
      <c r="M6" s="151">
        <v>24430.198333333334</v>
      </c>
      <c r="N6" s="151">
        <v>27.545833333333334</v>
      </c>
      <c r="O6" s="151">
        <v>34310.666666666664</v>
      </c>
      <c r="P6" s="152">
        <v>12</v>
      </c>
    </row>
    <row r="7" spans="4:16" x14ac:dyDescent="0.25">
      <c r="D7" s="141" t="s">
        <v>118</v>
      </c>
      <c r="E7" s="145">
        <v>12843.641666666665</v>
      </c>
      <c r="F7" s="145">
        <v>12843.641666666665</v>
      </c>
      <c r="G7" s="145">
        <v>12.667499999999999</v>
      </c>
      <c r="H7" s="145">
        <v>20236.166666666668</v>
      </c>
      <c r="I7">
        <v>12</v>
      </c>
      <c r="K7" s="153" t="s">
        <v>118</v>
      </c>
      <c r="L7" s="154">
        <v>12843.641666666665</v>
      </c>
      <c r="M7" s="154">
        <v>12843.641666666665</v>
      </c>
      <c r="N7" s="154">
        <v>12.667499999999999</v>
      </c>
      <c r="O7" s="154">
        <v>20236.166666666668</v>
      </c>
      <c r="P7" s="155">
        <v>12</v>
      </c>
    </row>
    <row r="8" spans="4:16" x14ac:dyDescent="0.25">
      <c r="D8" s="141" t="s">
        <v>119</v>
      </c>
      <c r="E8" s="145">
        <v>16826.474999999999</v>
      </c>
      <c r="F8" s="145">
        <v>16826.408333333329</v>
      </c>
      <c r="G8" s="145">
        <v>149.16249999999999</v>
      </c>
      <c r="H8" s="145">
        <v>232395.33333333334</v>
      </c>
      <c r="I8">
        <v>12</v>
      </c>
      <c r="K8" s="150" t="s">
        <v>119</v>
      </c>
      <c r="L8" s="151">
        <v>16826.474999999999</v>
      </c>
      <c r="M8" s="151">
        <v>16826.408333333329</v>
      </c>
      <c r="N8" s="151">
        <v>149.16249999999999</v>
      </c>
      <c r="O8" s="151">
        <v>232395.33333333334</v>
      </c>
      <c r="P8" s="152">
        <v>12</v>
      </c>
    </row>
    <row r="9" spans="4:16" x14ac:dyDescent="0.25">
      <c r="D9" s="141" t="s">
        <v>120</v>
      </c>
      <c r="E9" s="145">
        <v>27706.899999999998</v>
      </c>
      <c r="F9">
        <v>27706.899999999998</v>
      </c>
      <c r="G9" s="145">
        <v>33.728333333333332</v>
      </c>
      <c r="H9" s="145">
        <v>39714.5</v>
      </c>
      <c r="I9">
        <v>12</v>
      </c>
      <c r="K9" s="153" t="s">
        <v>120</v>
      </c>
      <c r="L9" s="154">
        <v>27706.899999999998</v>
      </c>
      <c r="M9" s="155">
        <v>27706.899999999998</v>
      </c>
      <c r="N9" s="154">
        <v>33.728333333333332</v>
      </c>
      <c r="O9" s="154">
        <v>39714.5</v>
      </c>
      <c r="P9" s="155">
        <v>12</v>
      </c>
    </row>
    <row r="10" spans="4:16" x14ac:dyDescent="0.25">
      <c r="D10" s="141" t="s">
        <v>122</v>
      </c>
      <c r="E10" s="145">
        <v>20334.816666666666</v>
      </c>
      <c r="F10" s="145">
        <v>20334.816666666666</v>
      </c>
      <c r="G10">
        <v>1.9600000000000002</v>
      </c>
      <c r="H10" s="145">
        <v>1877.75</v>
      </c>
      <c r="I10">
        <v>12</v>
      </c>
      <c r="K10" s="150" t="s">
        <v>122</v>
      </c>
      <c r="L10" s="151">
        <v>20334.816666666666</v>
      </c>
      <c r="M10" s="151">
        <v>20334.816666666666</v>
      </c>
      <c r="N10" s="152">
        <v>1.9600000000000002</v>
      </c>
      <c r="O10" s="151">
        <v>1877.75</v>
      </c>
      <c r="P10" s="152">
        <v>12</v>
      </c>
    </row>
    <row r="11" spans="4:16" x14ac:dyDescent="0.25">
      <c r="D11" s="141" t="s">
        <v>123</v>
      </c>
      <c r="E11" s="145">
        <v>24661.75</v>
      </c>
      <c r="F11" s="145">
        <v>24661.748333333337</v>
      </c>
      <c r="G11" s="145">
        <v>3.6149999999999998</v>
      </c>
      <c r="H11" s="145">
        <v>2583.5833333333335</v>
      </c>
      <c r="I11">
        <v>12</v>
      </c>
      <c r="K11" s="153" t="s">
        <v>123</v>
      </c>
      <c r="L11" s="154">
        <v>24661.75</v>
      </c>
      <c r="M11" s="154">
        <v>24661.748333333337</v>
      </c>
      <c r="N11" s="154">
        <v>3.6149999999999998</v>
      </c>
      <c r="O11" s="154">
        <v>2583.5833333333335</v>
      </c>
      <c r="P11" s="155">
        <v>12</v>
      </c>
    </row>
    <row r="12" spans="4:16" ht="15.75" thickBot="1" x14ac:dyDescent="0.3">
      <c r="D12" s="141" t="s">
        <v>121</v>
      </c>
      <c r="E12" s="145">
        <v>36360.383333333339</v>
      </c>
      <c r="F12" s="145">
        <v>36360.383333333339</v>
      </c>
      <c r="G12" s="145">
        <v>7.8324999999999996</v>
      </c>
      <c r="H12" s="145">
        <v>4508.416666666667</v>
      </c>
      <c r="I12">
        <v>12</v>
      </c>
      <c r="K12" s="150" t="s">
        <v>121</v>
      </c>
      <c r="L12" s="151">
        <v>36360.383333333339</v>
      </c>
      <c r="M12" s="151">
        <v>36360.383333333339</v>
      </c>
      <c r="N12" s="151">
        <v>7.8324999999999996</v>
      </c>
      <c r="O12" s="151">
        <v>4508.416666666667</v>
      </c>
      <c r="P12" s="152">
        <v>12</v>
      </c>
    </row>
    <row r="13" spans="4:16" ht="15.75" thickBot="1" x14ac:dyDescent="0.3">
      <c r="D13" s="142" t="s">
        <v>114</v>
      </c>
      <c r="E13" s="146">
        <f>AVERAGE(E4:E12)</f>
        <v>20708.365740740741</v>
      </c>
      <c r="F13" s="146">
        <f t="shared" ref="F13:H13" si="0">AVERAGE(F4:F12)</f>
        <v>20707.891388888889</v>
      </c>
      <c r="G13" s="146">
        <f t="shared" si="0"/>
        <v>83.577407407407421</v>
      </c>
      <c r="H13" s="146">
        <f t="shared" si="0"/>
        <v>110985.42592592591</v>
      </c>
      <c r="I13" s="144">
        <f>SUM(I4:I12)</f>
        <v>107</v>
      </c>
      <c r="K13" s="156" t="s">
        <v>114</v>
      </c>
      <c r="L13" s="157">
        <f>AVERAGE(L4:L12)</f>
        <v>20708.365740740741</v>
      </c>
      <c r="M13" s="157">
        <f t="shared" ref="M13" si="1">AVERAGE(M4:M12)</f>
        <v>20707.891388888889</v>
      </c>
      <c r="N13" s="157">
        <f t="shared" ref="N13" si="2">AVERAGE(N4:N12)</f>
        <v>83.577407407407421</v>
      </c>
      <c r="O13" s="157">
        <f t="shared" ref="O13" si="3">AVERAGE(O4:O12)</f>
        <v>110985.42592592591</v>
      </c>
      <c r="P13" s="158">
        <f>SUM(P4:P12)</f>
        <v>107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geral</vt:lpstr>
      <vt:lpstr>tabela grupos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ANDRESSA</cp:lastModifiedBy>
  <dcterms:created xsi:type="dcterms:W3CDTF">2026-02-07T15:42:20Z</dcterms:created>
  <dcterms:modified xsi:type="dcterms:W3CDTF">2026-02-09T16:25:06Z</dcterms:modified>
</cp:coreProperties>
</file>